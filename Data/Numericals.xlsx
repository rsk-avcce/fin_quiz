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Code\nism\quiz_app\"/>
    </mc:Choice>
  </mc:AlternateContent>
  <xr:revisionPtr revIDLastSave="0" documentId="13_ncr:1_{85BC9775-B3CC-4C47-9973-3760C76C5C28}" xr6:coauthVersionLast="47" xr6:coauthVersionMax="47" xr10:uidLastSave="{00000000-0000-0000-0000-000000000000}"/>
  <bookViews>
    <workbookView xWindow="-120" yWindow="-120" windowWidth="20730" windowHeight="11040" activeTab="1" xr2:uid="{B3B2EAEB-3D4F-44E9-A7BC-7C78BD8AFC15}"/>
  </bookViews>
  <sheets>
    <sheet name="Numericals 1" sheetId="1" r:id="rId1"/>
    <sheet name="Numericals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2" l="1"/>
</calcChain>
</file>

<file path=xl/sharedStrings.xml><?xml version="1.0" encoding="utf-8"?>
<sst xmlns="http://schemas.openxmlformats.org/spreadsheetml/2006/main" count="76" uniqueCount="59">
  <si>
    <t>Rs. 158.8 crores</t>
  </si>
  <si>
    <t>Rs. 162.5 crores</t>
  </si>
  <si>
    <t xml:space="preserve">Rs. 165.7 crores </t>
  </si>
  <si>
    <t>Rs. 167.3 crores</t>
  </si>
  <si>
    <t>Rs. 119 crores</t>
  </si>
  <si>
    <t xml:space="preserve">Rs. 124 crores </t>
  </si>
  <si>
    <t xml:space="preserve">Rs. 127 crores </t>
  </si>
  <si>
    <t>Rs. 131 crores</t>
  </si>
  <si>
    <t>Rs. 369.6 crores</t>
  </si>
  <si>
    <t xml:space="preserve">Rs. 376.42 crores </t>
  </si>
  <si>
    <t xml:space="preserve">Rs. 341.8 crores </t>
  </si>
  <si>
    <t>Rs. 358.66 crores</t>
  </si>
  <si>
    <t>Yes, by 3%</t>
  </si>
  <si>
    <t>Yes, by 4%</t>
  </si>
  <si>
    <t xml:space="preserve">Yes, by 2.7% </t>
  </si>
  <si>
    <t>No, -6.5%</t>
  </si>
  <si>
    <t>Yes, by 2.5%</t>
  </si>
  <si>
    <t>Yes, by 3.7%</t>
  </si>
  <si>
    <t>No, 0%</t>
  </si>
  <si>
    <t>Yes, by 0.125 points</t>
  </si>
  <si>
    <t>Yes, by 1.75 points</t>
  </si>
  <si>
    <t>Yes, 15.62</t>
  </si>
  <si>
    <t>Yes, 13.64</t>
  </si>
  <si>
    <t>Yes, 8.35</t>
  </si>
  <si>
    <t>Yes, 16.18</t>
  </si>
  <si>
    <t xml:space="preserve">Yes, by 0.388 points </t>
  </si>
  <si>
    <t>No, 1.75 points</t>
  </si>
  <si>
    <t>Questiod_ID</t>
  </si>
  <si>
    <t>Question</t>
  </si>
  <si>
    <t>Option A</t>
  </si>
  <si>
    <t>Option B</t>
  </si>
  <si>
    <t>Option C</t>
  </si>
  <si>
    <t>Option D</t>
  </si>
  <si>
    <t>Answer</t>
  </si>
  <si>
    <t>B</t>
  </si>
  <si>
    <t>D</t>
  </si>
  <si>
    <t>A</t>
  </si>
  <si>
    <t>Explanation</t>
  </si>
  <si>
    <t>Q1</t>
  </si>
  <si>
    <t>Was Rohan's fund manager able to beat the market and what was the extent of that outperformance?</t>
  </si>
  <si>
    <t>Q2</t>
  </si>
  <si>
    <t>Did Rohan's portfolio perform better than Priya's portfolio when measured against market returns?</t>
  </si>
  <si>
    <t>Q3</t>
  </si>
  <si>
    <t>When evaluating fund performance based on total risk, did Rohan's fund outperform his friend Priya's? If so, what was the margin of outperformance?</t>
  </si>
  <si>
    <t>Q4</t>
  </si>
  <si>
    <t>Considering the systematic risk of each fund, did Rohan's portfolio outperform his friend Priya's? What is the performance score for Rohan's fund?</t>
  </si>
  <si>
    <t>The following are given:
- Rohan's portfolio return (Rp) = 21%
- Beta of Rohan's portfolio (ẞp) = 1.1
- Market (benchmark) return (Rm) = 16%
- Risk-free rate (Rf) = 6%
Step 1: Calculate the required return as per CAPM (Capital Asset Pricing Model) Expected return = Rf + ẞ(Rm - Rf)
i.e. Expected Return = Risk Free Rate + Beta * (Market Return - Risk Free Rate)
= 6% +1.1 * (16%-6%)
= 6% +1.1 x 10%
Expected return = 6% +11% = 17%
Step 2: Jensen's Alpha (This is the measure of beating the market)
Alpha = Actual Portfolio Return - Expected Portfolio Return
= 21% -17% = 4%
Yes, Rohan's portfolio manager beat the market.
Outperformance (Jensen's Alpha) = + 4% per annum</t>
  </si>
  <si>
    <t>We have already calculated the Outperformance (Jensen's Alpha) of Rohan's portfolio as +4% in the previous question.
Now we will calculate Jensen's Alpha for Priya's portfolio.
Given data for Priya's portfolio:
- Actual Return: 24%
- Risk Free Rate: 6%
- Market Return: 16%
- Beta: 1.4
Let's Calculate Priya's Expected Return:
Expected Return = Risk-Free Rate + Beta * (Market Return - Risk-Free Rate)
=6% +1.4* (16% -6%)
=6% +1.4* 10%
= 6% +14%
Expected Return = 20%
Let's calculate Priya's Jensen's Alpha:
Alpha = Actual Portfolio Return - Expected Portfolio Return
Alpha = 24% -20%
Alpha=4%
We can see that both portfolios generated the same risk-adjusted outperformance of +4% over the market.
Therefore, Rohan's Portfolio did not fare better than her friend Priya's.</t>
  </si>
  <si>
    <t>When comparing funds based on total risk, a common metric is the Sharpe Ratio. It tells us the return earned in excess of the risk-free rate per unit of total risk.
Formula for Sharpe Ratio = (Portfolio return - Risk-free rate) / Portfolio standard deviation.
Step 1 - Lets calculate Sharpe Ratio for Rohan's portfolio.
Given that:
Return = 21%
Risk-free = 6%
Std. Dev. = 12%
Sharpe Ratio for Rohan's portfolio = (21 - 6) / 12
= 15/12 = 1.25
Step 2 - Now lets calculate Sharpe Ratio for Priya's portfolio.
Given that:
Return = 24%
Risk-free = 6%
Std. Dev. 16%
Sharpe Ratio for Priya's portfolio = (24-6)/16
= 18/16 1.125
Comparison:
Rohan's Sharpe Ratio: 1.25
Priya's Sharpe Ratio: 1.125
1.25 -1.125 = 0.125
Thus, Rohan's fund outperformed Priya's fund on a total risk basis. The margin of outperformance was 0.125 on the Sharpe ratio scale.</t>
  </si>
  <si>
    <t>When we account for systematic risk, the right measure is the Treynor Ratio as it uses beta, not total volatility.
The Treynor Ratio measures the excess return (above the risk-free rate) earned per unit of systematic risk (beta). A higher Treynor Ratio indicates better performance. Treynor Ratio formula = (Portfolio's return - Risk-free rate of return) / Beta
Given: Risk-free rate = 6%
Step 1: Calculate Rohan's Treynor Ratio
return = 21%
Beta = 1.1
Treynor Ratio = (Portfolio's return - Risk-free rate of return) / Beta
= (21% -6%) / 1.1
= 15% / 1.1 13.64%
Step 2: Calculate Priya's Treynor Ratio
return = 24%
Beta = 1.4
Treynor Ratio = (Portfolio's return - Risk-free rate of return) / Beta
= (24% -6%) / 1.4
= 18% / 1.4 = 12.86%
Step 3 - Comparison
• Rohan's Treynor score = 13.64%
• Priya's Treynor score = 12.86%
Therefore, Rohan's fund performed better than Priya's fund after accounting for systematic risk and Rohan's fund score was 13.64%</t>
  </si>
  <si>
    <t>C</t>
  </si>
  <si>
    <t>Calculate the EBITDA margin ratio for the year 2024?</t>
  </si>
  <si>
    <t xml:space="preserve">If the analyst predicts 2025 sales of Rs 380 crores and a 100 bps improvement in the EBIT margin rate, what is the anticipated EBIT for 2025? </t>
  </si>
  <si>
    <t>The analysts has updated the 2025 EBIT forecast to Rs145 crores. If the company's total debt is Rs. 300 crores with an 8% weighted average interest, what is the nearest figure to the expected profit before tax for 2025?</t>
  </si>
  <si>
    <t>Assuming an 12% sales growth, what will the sales be in 2025?</t>
  </si>
  <si>
    <t>Given:
Sales in 2024 Rs. 330 crores
Expected growth rate = 12% = 0.12
Therefore Expected Sales = 330 x 12% or 330 × (1+0.12)
= 330 X 1.12
= Rs. 369.6 crores</t>
  </si>
  <si>
    <t>Step 1: Interest expense
Interest Expense = Total Debt * Interest Rate
= 300 x 0.08 = 24 crores
Step 2: Calculate Profit Before Tax (PBT)
EBIT (2025 forcast) = Rs 148 crores
Interest = Rs 24 crores
PBT = EBIT - Interest
PBT=148-24
= Rs. 124 crores</t>
  </si>
  <si>
    <t>Given:
EBIT = Rs 142 cr
Sales 2024 = Rs 330 cr
Expected sales of 2025 = Rs 380 cr
Step 1: First let's Calculate 2024 EBIT margin
EBIT Margin 2024 = EBIT / Sales = 142/330
= 0.4303 43.03%
Step 2: Now let's adjust for improvement of 100 bps
100 bps = 1%
Forecasted EBIT Margin 2025 = 43.03% +1% = 44.03%
Step 3: Now let's calculate expected EBIT for 2025
EBIT 2025 = Sales 2025 × EBIT Margin 2025
= Rs. 167.3 crores</t>
  </si>
  <si>
    <t>Given:
Sales = Rs. 330 crores
Operating expenses (excluding depreciation) = Rs. 140 crores
Depreciation = Rs. 48 crores
EBIT = Rs. 142 crores
Formulas :
EBITDA = EBIT + Depreciation
EBITDA Margin = (EBITDA / Sales) x 100
Step 1: Calculate EBITDA
EBITDA = EBIT + Depreciation = 142 + 48 = 190
Step 2: Calculate EBITDA Margin
EBITDA Margin = (EBITDA / Sales) × 100
= 190/330 x 100 = 57.58%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</si>
</sst>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0" borderId="1" xfId="0" applyBorder="1" applyAlignment="1">
      <alignment wrapText="1"/>
    </xf>
    <xf numFmtId="10" fontId="0" fillId="0" borderId="1" xfId="0" applyNumberFormat="1" applyBorder="1" applyAlignment="1">
      <alignment horizontal="left" vertical="top"/>
    </xf>
    <xf numFmtId="10" fontId="0" fillId="2" borderId="1" xfId="0" applyNumberFormat="1" applyFill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6250-E0EC-41F6-BE6F-BD0A07A909DD}">
  <dimension ref="A1:H5"/>
  <sheetViews>
    <sheetView workbookViewId="0">
      <selection sqref="A1:XFD2"/>
    </sheetView>
  </sheetViews>
  <sheetFormatPr defaultRowHeight="15" x14ac:dyDescent="0.25"/>
  <cols>
    <col min="1" max="1" width="11.7109375" bestFit="1" customWidth="1"/>
    <col min="2" max="2" width="155.5703125" bestFit="1" customWidth="1"/>
    <col min="3" max="3" width="18.28515625" bestFit="1" customWidth="1"/>
    <col min="4" max="4" width="17.28515625" bestFit="1" customWidth="1"/>
    <col min="5" max="5" width="18.7109375" bestFit="1" customWidth="1"/>
    <col min="6" max="6" width="14.28515625" bestFit="1" customWidth="1"/>
    <col min="7" max="7" width="7.42578125" bestFit="1" customWidth="1"/>
    <col min="8" max="8" width="132.140625" bestFit="1" customWidth="1"/>
  </cols>
  <sheetData>
    <row r="1" spans="1:8" x14ac:dyDescent="0.25">
      <c r="A1" s="2" t="s">
        <v>27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37</v>
      </c>
    </row>
    <row r="2" spans="1:8" ht="270" x14ac:dyDescent="0.25">
      <c r="A2" s="3" t="s">
        <v>38</v>
      </c>
      <c r="B2" s="3" t="s">
        <v>39</v>
      </c>
      <c r="C2" s="3" t="s">
        <v>12</v>
      </c>
      <c r="D2" s="4" t="s">
        <v>13</v>
      </c>
      <c r="E2" s="3" t="s">
        <v>14</v>
      </c>
      <c r="F2" s="3" t="s">
        <v>15</v>
      </c>
      <c r="G2" s="3" t="s">
        <v>34</v>
      </c>
      <c r="H2" s="5" t="s">
        <v>46</v>
      </c>
    </row>
    <row r="3" spans="1:8" ht="330" x14ac:dyDescent="0.25">
      <c r="A3" s="3" t="s">
        <v>40</v>
      </c>
      <c r="B3" s="3" t="s">
        <v>41</v>
      </c>
      <c r="C3" s="3" t="s">
        <v>16</v>
      </c>
      <c r="D3" s="3" t="s">
        <v>17</v>
      </c>
      <c r="E3" s="3" t="s">
        <v>12</v>
      </c>
      <c r="F3" s="4" t="s">
        <v>18</v>
      </c>
      <c r="G3" s="3" t="s">
        <v>35</v>
      </c>
      <c r="H3" s="5" t="s">
        <v>47</v>
      </c>
    </row>
    <row r="4" spans="1:8" ht="375" x14ac:dyDescent="0.25">
      <c r="A4" s="3" t="s">
        <v>42</v>
      </c>
      <c r="B4" s="3" t="s">
        <v>43</v>
      </c>
      <c r="C4" s="4" t="s">
        <v>19</v>
      </c>
      <c r="D4" s="3" t="s">
        <v>20</v>
      </c>
      <c r="E4" s="3" t="s">
        <v>25</v>
      </c>
      <c r="F4" s="3" t="s">
        <v>26</v>
      </c>
      <c r="G4" s="3" t="s">
        <v>36</v>
      </c>
      <c r="H4" s="5" t="s">
        <v>48</v>
      </c>
    </row>
    <row r="5" spans="1:8" ht="345" x14ac:dyDescent="0.25">
      <c r="A5" s="3" t="s">
        <v>44</v>
      </c>
      <c r="B5" s="3" t="s">
        <v>45</v>
      </c>
      <c r="C5" s="3" t="s">
        <v>21</v>
      </c>
      <c r="D5" s="4" t="s">
        <v>22</v>
      </c>
      <c r="E5" s="3" t="s">
        <v>23</v>
      </c>
      <c r="F5" s="3" t="s">
        <v>24</v>
      </c>
      <c r="G5" s="3" t="s">
        <v>34</v>
      </c>
      <c r="H5" s="5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EDD49-34CC-4B42-AED5-3DAD0ACA7221}">
  <dimension ref="A1:M31"/>
  <sheetViews>
    <sheetView tabSelected="1" workbookViewId="0">
      <selection activeCell="B2" sqref="B2"/>
    </sheetView>
  </sheetViews>
  <sheetFormatPr defaultRowHeight="15" x14ac:dyDescent="0.25"/>
  <cols>
    <col min="1" max="1" width="11.7109375" bestFit="1" customWidth="1"/>
    <col min="2" max="2" width="126" customWidth="1"/>
    <col min="3" max="3" width="14.85546875" bestFit="1" customWidth="1"/>
    <col min="4" max="4" width="16.28515625" bestFit="1" customWidth="1"/>
    <col min="5" max="5" width="15.28515625" bestFit="1" customWidth="1"/>
    <col min="6" max="6" width="15.85546875" bestFit="1" customWidth="1"/>
    <col min="7" max="7" width="7.42578125" bestFit="1" customWidth="1"/>
    <col min="8" max="8" width="105.7109375" customWidth="1"/>
  </cols>
  <sheetData>
    <row r="1" spans="1:8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2" t="s">
        <v>37</v>
      </c>
    </row>
    <row r="2" spans="1:8" ht="225" x14ac:dyDescent="0.25">
      <c r="A2" s="3" t="s">
        <v>38</v>
      </c>
      <c r="B2" s="3" t="s">
        <v>51</v>
      </c>
      <c r="C2" s="6">
        <v>0.43690000000000001</v>
      </c>
      <c r="D2" s="6">
        <v>0.63770000000000004</v>
      </c>
      <c r="E2" s="7">
        <v>0.57579999999999998</v>
      </c>
      <c r="F2" s="6">
        <v>0.49249999999999999</v>
      </c>
      <c r="G2" s="3" t="s">
        <v>50</v>
      </c>
      <c r="H2" s="5" t="s">
        <v>58</v>
      </c>
    </row>
    <row r="3" spans="1:8" ht="240" x14ac:dyDescent="0.25">
      <c r="A3" s="3" t="s">
        <v>40</v>
      </c>
      <c r="B3" s="3" t="s">
        <v>52</v>
      </c>
      <c r="C3" s="3" t="s">
        <v>0</v>
      </c>
      <c r="D3" s="3" t="s">
        <v>1</v>
      </c>
      <c r="E3" s="3" t="s">
        <v>2</v>
      </c>
      <c r="F3" s="4" t="s">
        <v>3</v>
      </c>
      <c r="G3" s="3" t="s">
        <v>35</v>
      </c>
      <c r="H3" s="5" t="s">
        <v>57</v>
      </c>
    </row>
    <row r="4" spans="1:8" ht="150" x14ac:dyDescent="0.25">
      <c r="A4" s="3" t="s">
        <v>42</v>
      </c>
      <c r="B4" s="8" t="s">
        <v>53</v>
      </c>
      <c r="C4" s="3" t="s">
        <v>4</v>
      </c>
      <c r="D4" s="4" t="s">
        <v>5</v>
      </c>
      <c r="E4" s="3" t="s">
        <v>6</v>
      </c>
      <c r="F4" s="3" t="s">
        <v>7</v>
      </c>
      <c r="G4" s="3" t="s">
        <v>34</v>
      </c>
      <c r="H4" s="5" t="s">
        <v>56</v>
      </c>
    </row>
    <row r="5" spans="1:8" ht="90" x14ac:dyDescent="0.25">
      <c r="A5" s="3" t="s">
        <v>44</v>
      </c>
      <c r="B5" s="3" t="s">
        <v>54</v>
      </c>
      <c r="C5" s="4" t="s">
        <v>8</v>
      </c>
      <c r="D5" s="3" t="s">
        <v>9</v>
      </c>
      <c r="E5" s="3" t="s">
        <v>10</v>
      </c>
      <c r="F5" s="3" t="s">
        <v>11</v>
      </c>
      <c r="G5" s="3" t="s">
        <v>36</v>
      </c>
      <c r="H5" s="5" t="s">
        <v>55</v>
      </c>
    </row>
    <row r="31" spans="13:13" x14ac:dyDescent="0.25">
      <c r="M31" s="1">
        <f>FV(12%,1,0,-330)</f>
        <v>369.6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Numericals 1</vt:lpstr>
      <vt:lpstr>Numericals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Sathish Kumar R</dc:creator>
  <cp:lastModifiedBy>Sathish Kumar R</cp:lastModifiedBy>
  <dcterms:created xsi:type="dcterms:W3CDTF">2026-03-02T03:18:39Z</dcterms:created>
  <dcterms:modified xsi:type="dcterms:W3CDTF">2026-03-09T17:44:20Z</dcterms:modified>
</cp:coreProperties>
</file>