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D:\PyCode\nism\quiz_app\Data\"/>
    </mc:Choice>
  </mc:AlternateContent>
  <xr:revisionPtr revIDLastSave="0" documentId="13_ncr:1_{07703D48-C3EB-4210-81CA-C416C1CC412C}" xr6:coauthVersionLast="47" xr6:coauthVersionMax="47" xr10:uidLastSave="{00000000-0000-0000-0000-000000000000}"/>
  <bookViews>
    <workbookView xWindow="20370" yWindow="-120" windowWidth="20730" windowHeight="11040" activeTab="5" xr2:uid="{B3B2EAEB-3D4F-44E9-A7BC-7C78BD8AFC15}"/>
  </bookViews>
  <sheets>
    <sheet name="Case 1" sheetId="1" r:id="rId1"/>
    <sheet name="Case 2" sheetId="2" r:id="rId2"/>
    <sheet name="Case 3" sheetId="3" r:id="rId3"/>
    <sheet name="Case 4" sheetId="5" r:id="rId4"/>
    <sheet name="Case 5" sheetId="6" r:id="rId5"/>
    <sheet name="Case 6" sheetId="7" r:id="rId6"/>
    <sheet name="Case 7" sheetId="9"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3" i="2" l="1"/>
</calcChain>
</file>

<file path=xl/sharedStrings.xml><?xml version="1.0" encoding="utf-8"?>
<sst xmlns="http://schemas.openxmlformats.org/spreadsheetml/2006/main" count="301" uniqueCount="189">
  <si>
    <t>All the three options will have same effect</t>
  </si>
  <si>
    <t xml:space="preserve">Q-Among the three options, which is most likely to cause minimum dilution to the existing shareholders? </t>
  </si>
  <si>
    <t>Option 1</t>
  </si>
  <si>
    <t>Option 3</t>
  </si>
  <si>
    <t>Option 2</t>
  </si>
  <si>
    <t>Stock dilution, also known as equity dilution, is the decrease in existing shareholders' ownership percentage of a company as a result of the company issuing new equity. New equity increases the total shares outstanding which has a dilutive effect on the ownership percentage of existing shareholders.
As both option 2 and option 3 are related to issue of new equity, it can lead to dilution at a higher side.
Therefore, Option 1 in which debt will be raised, is likely to cause minimum dilution to the existing shareholders.</t>
  </si>
  <si>
    <t>Q - Calculate the expected post-tax rate of return on the investment.</t>
  </si>
  <si>
    <t>Q - From the three options of fund raising, which will create the highest financial risk for Mega Industries Ltd.?</t>
  </si>
  <si>
    <t>Q - When comparing Option 1 and Option 2 for fund raising, which is more likely to result in lower EPS for Mega Industries Ltd.?</t>
  </si>
  <si>
    <t>Q - A research analyst is of the belief that the just concluded financial year was a weak year for the company in terms of profits. He expects the company to earn a net profit of Rs 30 per share next year. He also estimates the cost of capital for the company at 12%. Which of the following is the closest to the analyst's estimate of fair value of the company's share using Dividend Discount Model?</t>
  </si>
  <si>
    <t>Rs 175.65</t>
  </si>
  <si>
    <t>Q - Determine if the share is over valued or under valued based on its dividend yield if the fair dividend is 6%.</t>
  </si>
  <si>
    <t>Q-A research analyst who covers the pharma sector believes that as per the Dividend Discount model, the share is fairly valued. What is the Cost of Capital as per the analyst's assessment?</t>
  </si>
  <si>
    <t>Q - If the Cost of Capital for the company is 12% and assuming that the company will maintain its growth rate, calculate the fair dividend yield on the stock.</t>
  </si>
  <si>
    <t>Rs 350</t>
  </si>
  <si>
    <t>Rs 410</t>
  </si>
  <si>
    <t>Rs 287.50</t>
  </si>
  <si>
    <t xml:space="preserve">The share is over valued as the dividend yield is 6.84% </t>
  </si>
  <si>
    <t xml:space="preserve">The share is over valued as the dividend yield is 5.75% </t>
  </si>
  <si>
    <t xml:space="preserve">The share is under valued as the dividend yield is 6.84% </t>
  </si>
  <si>
    <t>The share is under valued as the dividend yield is 5.75%</t>
  </si>
  <si>
    <t>Rs. 158.8 crores</t>
  </si>
  <si>
    <t>Rs. 162.5 crores</t>
  </si>
  <si>
    <t xml:space="preserve">Rs. 165.7 crores </t>
  </si>
  <si>
    <t>Rs. 167.3 crores</t>
  </si>
  <si>
    <t>Rs. 119 crores</t>
  </si>
  <si>
    <t xml:space="preserve">Rs. 124 crores </t>
  </si>
  <si>
    <t xml:space="preserve">Rs. 127 crores </t>
  </si>
  <si>
    <t>Rs. 131 crores</t>
  </si>
  <si>
    <t>Rs. 369.6 crores</t>
  </si>
  <si>
    <t xml:space="preserve">Rs. 376.42 crores </t>
  </si>
  <si>
    <t xml:space="preserve">Rs. 341.8 crores </t>
  </si>
  <si>
    <t>Rs. 358.66 crores</t>
  </si>
  <si>
    <t xml:space="preserve">Rohan allocates Rs. 60 lakhs to a portfolio for investment, giving his fund manager a 4-year period to enhance its value. Two years into this, his friend, Priya, remarks that her investments have been performing better than his. This prompts Rohan to assess his fund's performance by reviewing all the relevant annual statistics. His portfolio has delivered an annual return of 21%, with a standard deviation of 12% and a beta of 1.1. In comparison, Priya's portfolio has generated a 24% return with a 16% standard deviation and a beta of 1.4. During this identical timeframe, the market benchmark registered a 16% annual return with an 11% standard deviation and the risk-free rate of return stood at 6% per annum. </t>
  </si>
  <si>
    <t>Yes, by 3%</t>
  </si>
  <si>
    <t>Yes, by 4%</t>
  </si>
  <si>
    <t xml:space="preserve">Yes, by 2.7% </t>
  </si>
  <si>
    <t>No, -6.5%</t>
  </si>
  <si>
    <t>Yes, by 2.5%</t>
  </si>
  <si>
    <t>Yes, by 3.7%</t>
  </si>
  <si>
    <t>No, 0%</t>
  </si>
  <si>
    <t>Yes, by 0.125 points</t>
  </si>
  <si>
    <t>Yes, by 1.75 points</t>
  </si>
  <si>
    <t>Yes, 15.62</t>
  </si>
  <si>
    <t>Yes, 13.64</t>
  </si>
  <si>
    <t>Yes, 8.35</t>
  </si>
  <si>
    <t>Yes, 16.18</t>
  </si>
  <si>
    <t xml:space="preserve">Yes, by 0.388 points </t>
  </si>
  <si>
    <t>No, 1.75 points</t>
  </si>
  <si>
    <t xml:space="preserve">Q - If we assume that all the four recommendations given above will have the same impact on sales, which can result in highest operating profit margin? </t>
  </si>
  <si>
    <t>Aditya's recommendation</t>
  </si>
  <si>
    <t>Sheetal's recommendation</t>
  </si>
  <si>
    <t xml:space="preserve">Thomas's recommendation </t>
  </si>
  <si>
    <t>Asha's recommendation</t>
  </si>
  <si>
    <t>Q - If Thomas's recommendation is accepted than which of these ratio will be most impacted?</t>
  </si>
  <si>
    <t>Inventory Turnover Ratio</t>
  </si>
  <si>
    <t>Solvency Ratio</t>
  </si>
  <si>
    <t>Gross Profit Margin Ratio</t>
  </si>
  <si>
    <t>Current Ratio</t>
  </si>
  <si>
    <t xml:space="preserve">Q - The recommendation by Aditya and Sheetal will result same profits. Which of the two will result in a higher Operating Profit margin? </t>
  </si>
  <si>
    <t xml:space="preserve">Aditya's recommendation </t>
  </si>
  <si>
    <t>Both the recommendations will give same operating profit margin as profit is same</t>
  </si>
  <si>
    <t>Q - What will be financial impact of Sheetal's and Asha'a recommendations?</t>
  </si>
  <si>
    <t xml:space="preserve">lf Sheetal's recommendation is accepted, it will lead to lower gross profit margin. However the operating profit margin should be same in both the cases </t>
  </si>
  <si>
    <t>Questiod_ID</t>
  </si>
  <si>
    <t>Question</t>
  </si>
  <si>
    <t>Option A</t>
  </si>
  <si>
    <t>Option B</t>
  </si>
  <si>
    <t>Option C</t>
  </si>
  <si>
    <t>Option D</t>
  </si>
  <si>
    <t>Answer</t>
  </si>
  <si>
    <t>B</t>
  </si>
  <si>
    <t>D</t>
  </si>
  <si>
    <t>A</t>
  </si>
  <si>
    <t>Explanation</t>
  </si>
  <si>
    <t>Q1</t>
  </si>
  <si>
    <t>Was Rohan's fund manager able to beat the market and what was the extent of that outperformance?</t>
  </si>
  <si>
    <t>Q2</t>
  </si>
  <si>
    <t>Did Rohan's portfolio perform better than Priya's portfolio when measured against market returns?</t>
  </si>
  <si>
    <t>Q3</t>
  </si>
  <si>
    <t>When evaluating fund performance based on total risk, did Rohan's fund outperform his friend Priya's? If so, what was the margin of outperformance?</t>
  </si>
  <si>
    <t>Q4</t>
  </si>
  <si>
    <t>Considering the systematic risk of each fund, did Rohan's portfolio outperform his friend Priya's? What is the performance score for Rohan's fund?</t>
  </si>
  <si>
    <t>The following are given:
- Rohan's portfolio return (Rp) = 21%
- Beta of Rohan's portfolio (ẞp) = 1.1
- Market (benchmark) return (Rm) = 16%
- Risk-free rate (Rf) = 6%
Step 1: Calculate the required return as per CAPM (Capital Asset Pricing Model) Expected return = Rf + ẞ(Rm - Rf)
i.e. Expected Return = Risk Free Rate + Beta * (Market Return - Risk Free Rate)
= 6% +1.1 * (16%-6%)
= 6% +1.1 x 10%
Expected return = 6% +11% = 17%
Step 2: Jensen's Alpha (This is the measure of beating the market)
Alpha = Actual Portfolio Return - Expected Portfolio Return
= 21% -17% = 4%
Yes, Rohan's portfolio manager beat the market.
Outperformance (Jensen's Alpha) = + 4% per annum</t>
  </si>
  <si>
    <t>We have already calculated the Outperformance (Jensen's Alpha) of Rohan's portfolio as +4% in the previous question.
Now we will calculate Jensen's Alpha for Priya's portfolio.
Given data for Priya's portfolio:
- Actual Return: 24%
- Risk Free Rate: 6%
- Market Return: 16%
- Beta: 1.4
Let's Calculate Priya's Expected Return:
Expected Return = Risk-Free Rate + Beta * (Market Return - Risk-Free Rate)
=6% +1.4* (16% -6%)
=6% +1.4* 10%
= 6% +14%
Expected Return = 20%
Let's calculate Priya's Jensen's Alpha:
Alpha = Actual Portfolio Return - Expected Portfolio Return
Alpha = 24% -20%
Alpha=4%
We can see that both portfolios generated the same risk-adjusted outperformance of +4% over the market.
Therefore, Rohan's Portfolio did not fare better than her friend Priya's.</t>
  </si>
  <si>
    <t>When comparing funds based on total risk, a common metric is the Sharpe Ratio. It tells us the return earned in excess of the risk-free rate per unit of total risk.
Formula for Sharpe Ratio = (Portfolio return - Risk-free rate) / Portfolio standard deviation.
Step 1 - Lets calculate Sharpe Ratio for Rohan's portfolio.
Given that:
Return = 21%
Risk-free = 6%
Std. Dev. = 12%
Sharpe Ratio for Rohan's portfolio = (21 - 6) / 12
= 15/12 = 1.25
Step 2 - Now lets calculate Sharpe Ratio for Priya's portfolio.
Given that:
Return = 24%
Risk-free = 6%
Std. Dev. 16%
Sharpe Ratio for Priya's portfolio = (24-6)/16
= 18/16 1.125
Comparison:
Rohan's Sharpe Ratio: 1.25
Priya's Sharpe Ratio: 1.125
1.25 -1.125 = 0.125
Thus, Rohan's fund outperformed Priya's fund on a total risk basis. The margin of outperformance was 0.125 on the Sharpe ratio scale.</t>
  </si>
  <si>
    <t>When we account for systematic risk, the right measure is the Treynor Ratio as it uses beta, not total volatility.
The Treynor Ratio measures the excess return (above the risk-free rate) earned per unit of systematic risk (beta). A higher Treynor Ratio indicates better performance. Treynor Ratio formula = (Portfolio's return - Risk-free rate of return) / Beta
Given: Risk-free rate = 6%
Step 1: Calculate Rohan's Treynor Ratio
return = 21%
Beta = 1.1
Treynor Ratio = (Portfolio's return - Risk-free rate of return) / Beta
= (21% -6%) / 1.1
= 15% / 1.1 13.64%
Step 2: Calculate Priya's Treynor Ratio
return = 24%
Beta = 1.4
Treynor Ratio = (Portfolio's return - Risk-free rate of return) / Beta
= (24% -6%) / 1.4
= 18% / 1.4 = 12.86%
Step 3 - Comparison
• Rohan's Treynor score = 13.64%
• Priya's Treynor score = 12.86%
Therefore, Rohan's fund performed better than Priya's fund after accounting for systematic risk and Rohan's fund score was 13.64%</t>
  </si>
  <si>
    <t>C</t>
  </si>
  <si>
    <t>Calculate the EBITDA margin ratio for the year 2024?</t>
  </si>
  <si>
    <t xml:space="preserve">If the analyst predicts 2025 sales of Rs 380 crores and a 100 bps improvement in the EBIT margin rate, what is the anticipated EBIT for 2025? </t>
  </si>
  <si>
    <t>The analysts has updated the 2025 EBIT forecast to Rs145 crores. If the company's total debt is Rs. 300 crores with an 8% weighted average interest, what is the nearest figure to the expected profit before tax for 2025?</t>
  </si>
  <si>
    <t>Assuming an 12% sales growth, what will the sales be in 2025?</t>
  </si>
  <si>
    <t>Given:
Sales in 2024 Rs. 330 crores
Expected growth rate = 12% = 0.12
Therefore Expected Sales = 330 x 12% or 330 × (1+0.12)
= 330 X 1.12
= Rs. 369.6 crores</t>
  </si>
  <si>
    <t>Step 1: Interest expense
Interest Expense = Total Debt * Interest Rate
= 300 x 0.08 = 24 crores
Step 2: Calculate Profit Before Tax (PBT)
EBIT (2025 forcast) = Rs 148 crores
Interest = Rs 24 crores
PBT = EBIT - Interest
PBT=148-24
= Rs. 124 crores</t>
  </si>
  <si>
    <t>Given:
EBIT = Rs 142 cr
Sales 2024 = Rs 330 cr
Expected sales of 2025 = Rs 380 cr
Step 1: First let's Calculate 2024 EBIT margin
EBIT Margin 2024 = EBIT / Sales = 142/330
= 0.4303 43.03%
Step 2: Now let's adjust for improvement of 100 bps
100 bps = 1%
Forecasted EBIT Margin 2025 = 43.03% +1% = 44.03%
Step 3: Now let's calculate expected EBIT for 2025
EBIT 2025 = Sales 2025 × EBIT Margin 2025
= Rs. 167.3 crores</t>
  </si>
  <si>
    <t>Given:
Sales = Rs. 330 crores
Operating expenses (excluding depreciation) = Rs. 140 crores
Depreciation = Rs. 48 crores
EBIT = Rs. 142 crores
Formulas :
EBITDA = EBIT + Depreciation
EBITDA Margin = (EBITDA / Sales) x 100
Step 1: Calculate EBITDA
EBITDA = EBIT + Depreciation = 142 + 48 = 190
Step 2: Calculate EBITDA Margin
EBITDA Margin = (EBITDA / Sales) × 100
= 190/330 x 100 = 57.58%</t>
  </si>
  <si>
    <t>The shortened version of the Profit and Loss account of Penguin Aircon Industries for the year 2024 is as follows - Sales: Rs 330 crores; Operating Expenses (excluding depreciation) : Rs 140 crores; Depreciation : Rs. 48 crores; Thus the Operating profit (EBIT) : Rs 142 crores. (330 cr less 140 cr less 48 cr)
The interest expenses are Rs 25 crores
Therefore Profit after reducing interest and before tax comes to : Rs 117 cr (142 cr – 25 cr).</t>
  </si>
  <si>
    <t>Everest Industries is a pharmaceutical company and its has now reached a matured growth stage and is expected to grow at 6% every year. As the growth needs are limited, its distributing 70% of its profits as dividend. This dividend is distributed as interim dividend immediately after the end of financial year.
For the last financial year, the company had declared a dividend of Rs 13 which is payable immediately. The company's share price on the stock market is currently trading at Rs. 190.</t>
  </si>
  <si>
    <t>In the Dividend discount model, the expected future dividends of a company are discounted based on the cost of capital. This model is suitable for companies that pay regular and substantial dividend. Thus, this model is more suitable to matured companies in the defensive industry.
Gordon growth model provides a way to value a dividend paying company where the dividend is expected to grow perpetually at a constant rate.
For a company with cost of equity k, and a dividend that is expected grow at a constant rate g, the fair value of the shares (P) of the company would be equal to P=D1/k-g
Where D1 refers to dividend expected to be received at the end of the year.
Therefore, in the above example the calculation can be done as follows:
P = ? (Fair Value of Shares)
It is mentioned that company distributes 70% profits as dividends. So, 70% of expected profit of Rs. 30 per share is Rs. 21.
D1= 21 (Dividend expected to be received at the end of the year)
k = 12% (Cost of capital)
g=6% (Growth Rate)
P=D1/k-g
P = 21/(12% -6%)
P= (21/6%) 21/06
P= 350</t>
  </si>
  <si>
    <t>In the Dividend discount model, the expected future dividends of a company are discounted based on the cost of capital. This model is suitable for companies that pay regular and substantial dividend. Thus, this model is more suitable to matured companies in the defensive industry.
Gordon growth model provides a way to value a dividend paying company where the dividend is expected to grow perpetually at a constant rate.
For a company with cost of equity k, and a dividend that is expected grow at a constant rate g, the fair value of the shares (P) of the company would be equal to P=D1/k-g
Where D1 refers to dividend expected to be received.
Therefore, in the above example the calculation can be done as follows:
P = 190 (Fair Value of Shares)
D1= 13.78 (Dividend expected to be received next year: 6% growth of 13 = 13.78)
k=? (Cost of capital or Cost of Equity)
g=6% 0.06 (Growth Rate)
P=D1/k-g
190= 13.78/k-0.06
K-0.06 (13.78/190)
k = 0.072 +0.06
k = 0.1325 x 100 = 13.25%</t>
  </si>
  <si>
    <t>For a company with cost of equity k, and a dividend that is expected grow at a constant rate g, the fair value of the shares (P) of the company would be equal to P = D1/k-g
Where D1 refers to dividend expected to be received at the end of the year.
Therefore, in the above example the calculation can be done as follows:
P=190 (Fair Value of Shares)
D1=? (Dividend expected to be received at the end of the year)
k = 12% (Cost of capital)
g=6% (Growth Rate)
P=D1/k-g
190 D1/ (12% -6%)
190 D1/6%
D1= 190 X 6% = 190 X .06
D1 = 11.4
Dividend Yield = Dividend per share (DPS) / Current price of stock
11.4/190 = 0.06
0.06 x 100 = 6%</t>
  </si>
  <si>
    <t>Dividends are the profits that the company pays out to its equity holders. Dividends can be compared with the share price for a sense on cheapness or expensiveness of equities. Popularly known term on this subject is dividend yield, which is defined as:
Dividend Yield = Dividend per share (DPS) / Current price of stock
As per the formula Dividend Yield in the above example = 13/190 = 6.84%
The Fair Dividend is mentioned as 6%
If a company's dividend payment rate exceeds that of their competitors, it may indicate that the share price has dipped to "undervalued" status (in relation to its dividend payment).
Therefore, here the stock is available at dividend yields higher than those of comparative stocks and the market dividend yield may be seen as a value pick.</t>
  </si>
  <si>
    <t>Formula for Post tax returns = R − (R * TR %)
Where, R = Rate of return on the investment and TR% = Tax bracket (in percentage) of investor.
Therefore, in the above example the calculation will be as follows:
Post tax returns = R - (R* TR %)
= 16 (16* 25%)
=16-4 12%</t>
  </si>
  <si>
    <t>The downside of debt financing is that lenders require the payment of interest, meaning the total amount repaid exceeds the initial sum. Also, payments on debt must be made regardless of business revenue.
In equity financing, shareholders purchase stock with the understanding that they then own a small stake in the business. The amount is not needed to be returned. Therefore, in the above scenario, Option 1 creates highest financial risk for Mega Industries Ltd.</t>
  </si>
  <si>
    <t>When a company raises debt, the interest amount is allowed as an expense while calculating tax. But it is not in the case of preference shares. Let's calculate the profit in both the cases:
Debt: EBIT = 200 crore * 16% return = 32 crore. 
Debt required is of 150 crore. 11% interest cost on 150 crores = 16.5 crore. 
Net return after interest cost = 32 crores -16.5 crores = 15.5 crores. 
25% tax on 15.5 crore = 3.875 crore. 
Net return after tax = 15.5-3.875 = 11.625 crore
Preference Shares: EBIT
dividend = 150 crore x 11%
200 crore 16% return = 32 crore. 
Tax is at 25% and it will be 32 x 25% = 8 crore. 
Net return after tax = 32-8= 24 crore. 
Preference 16.5 crore. 
Net return after Preference dividend = 24-16.5 7.5 crore.
Thus the returns are lower in case of Preference shares option which will result in lower EPS.</t>
  </si>
  <si>
    <t>Mega Industries Ltd. wants to grow its business by spending money on a new project which will require an investment of Rs 200 crores. This project can give a return of 16% on the investment on a pre-tax basis. This return is slightly lower than the return on equity which is currently generated by the company. The tax rate for the company is 25%. The company can spare Rs 50 crores for the project through its internal accruals. For the balance Rs 150 crores, the following fund options are available 
Option 1. To raise by debt at 11% interest
Option 2. To issue Preference shares with 11% dividend 
Option 3. Issue fresh equity for the entire funding</t>
  </si>
  <si>
    <t>Rainbow Paints Ltd. is a paints manufacturer and is seeing slow movement in its sales for the last few months. In the team meeting, the Sales Manager asked for suggestions from the sales team and the following recommendations were received:
1. Aditya - Reduce our prices so as to attract customers
2. Sheetal - Instead of reducing prices, offer a free brush to the buyer i.e., the painters. The cost of the brush will be same as the discount mentioned by Aditya
3. Thomas - Increase the credit period to retailers so that they get more time to sell our paints before paying us
4. Asha - The amount we are planning to give as discounts or free brushes, instead use this amount to improve our marketing and branding budget</t>
  </si>
  <si>
    <t>Both Sheetal's and Asha's suggestions would result in same gross profit margin and net profit margin. This is because the budgeted expense for both are same</t>
  </si>
  <si>
    <t>If Sheetal's recommendation is accepted, it will lead to higher gross profit margin. However the operating profit margin should be same in both the cases</t>
  </si>
  <si>
    <t>Operating Profit Margin = Operating Proft / Sales
If sales remain constant in all cases, Thomas's suggestion is going to have the highest Operating Profit margin as his suggestion of increasing credit period does not include anything which will reduce the operating profit.
Sheetal's suggestion increases the cost of goods, Aditya's suggestion decreases the profit per unit and Asha's suggestion increases marketing and branding expense thus reducing the overall operating profit.</t>
  </si>
  <si>
    <t>Inventory Turnover Ratio = Cost of Goods Sold/Average Inventory
Solvency Ratio = (Net Income + Non-cash expenses)/All liabilities
Gross Profit Margin = Gross profit/Sales
Current Ratio = Current Assets/Current Liabilities
On implementing Thomas's recommendation, the retailers will get more time to pay their dues. This will increase the current receivables (debtors) and thus Current Assets would go up. This will increase the Current Ratio.</t>
  </si>
  <si>
    <t>Operating Profit Margin (OPM) = (Operating Profit / Revenue) x 100
Lets solve this using an hypothetical example:
Normal Case: Revenue = 100, Cost = 80. So Operating Profit = 20
Operating Profit Margin = Operating Profit / Revenue = 20/100 = 20%
Aditya's Case (Price Discount of 10)
Revenue = 100 - 10 = 90, Cost = 80 (same, no extra cost). So Operating Profit = 90 - 80 = 10 Operating Profit Margin = 10/90 = 11.11%
Sheetal's Case (Free brush worth 10)
Revenue = 100 (no reduction), Cost = 80 + 10 = 90. So Operating Profit = 100 - 90 = 10
Operating Profit Margin = 10 ÷ 100 = 10%
Both give same absolute profit (10), but OPM is higher in Aditya's case (11.11% vs 10%) because the denominator (Revenue) is lower in discounting.</t>
  </si>
  <si>
    <t>Sheetal's suggestion would decrease Gross Profit margin as profit per product reduces is lesser in than that of Asha. This is because Sheetal is suggesting to increase cost of goods sold by adding a free brush. Thus this will lead to a lower gross profit margin for Sheetal's suggestion.
Although, the operating profit in both would be same the total expenses in both cases add up to same. Just that as per Asha's suggestion, the expense will be allocated to marketing expense whereas in Sheetal's suggestion it will be allocated to Cost of Goods sold.</t>
  </si>
  <si>
    <t>Company A had Rs.320 lakhs worth of finished goods and WIP in its inventory at the end of financial year 2XX8. Which of the following is closest to its inventory of finished goods and WIP at end of 2XX9?</t>
  </si>
  <si>
    <t>Rs.220 lakhs</t>
  </si>
  <si>
    <t>Rs.285 lakhs</t>
  </si>
  <si>
    <t>Rs.355 lakhs</t>
  </si>
  <si>
    <t>Rs.440 lakhs</t>
  </si>
  <si>
    <t>Value of Finished Goods and WIP in inventory at the end of Year 2xx8 = 320 Lakhs (Given)
As per the generally accepted accounting principles expenditure incurred towards production of goods is retained in inventory until the goods are disposed. Thus, the line item “Changes in Inventory of WIP and finished Goods” represents the difference between opening balance and closing balance of work-in-progress and finished goods.
Thus,
Closing Value of Finished Goods and WIP = Opening Balance of Finished Good and WIP + Changes in Inventory of WIP and finished Goods.
Closing Value of Finished Goods = 320 + (-35) = 285
Thus, Closing Value of Finished Goods and WIP = 285 Lakhs</t>
  </si>
  <si>
    <t>You have information that companies in the industry increased selling price of their output. However, different companies increased their prices at different rates. Which of two company is likely to have increased their price at a higher rate and why?</t>
  </si>
  <si>
    <t>Company B is likely to have increased the price more as its sales grew faster than that of A</t>
  </si>
  <si>
    <t>Company A is likely to have increased the price more as its cost of materials to sales ratio decreased year over year, while it remained constant for company B</t>
  </si>
  <si>
    <t>Company B is likely to have increased the price more as its net profit margin increased by 23% compared to only 15% growth for Company A</t>
  </si>
  <si>
    <t>Company A is likely to have increased the price more as it earned higher net profit</t>
  </si>
  <si>
    <t>In order to choose the correct option, we will have to evaluate all the 4 options first.
Option 1 is wrong because price increase cannot be judged by only looking at growth in sales. We need to also look at cost of raw material in conjunction. The ratio of cost of raw material to Operating Revenue is constant for company B in both years. This does not really imply that prices of goods were increase.
Option 2 seems correct as the reasoning given is correct and satisfactory. Company A’s Cost of materials to Sales Ratio for 2XX8= 3024/8642 = 35%
Company A’s Cost of materials to Sales Ratio for 2XX9= 3003/9100 = 33%
Company B’s Cost of materials to Sales Ratio for 2xx8= 2185/6427 = 34%
Company B’s Cost of materials to Sales Ratio for 2xx9= 2558/7524 = 34%
When sales and cost of materials both rise, like for company B, it can be implied that the sales increased due to the increase in sale of number of units. But like for company A, where sales go up but cost of materials remains flat or goes down, it can be implied that sales increased due to increase in price per unit.
Option 3 and 4 are incorrect because net profit is not the right metric to evaluate the growth in sales. Net profit is also affected by other factors like depreciation, taxes etc.</t>
  </si>
  <si>
    <t>Which of the following is closest to the difference between EBITDA margin ratios for Company A and Company B for the 2XX9? (1 basis point or bps equals 0.01%)</t>
  </si>
  <si>
    <t>Which of the two companies have higher level of financial leverage?</t>
  </si>
  <si>
    <t>Both the companies have very similar margins</t>
  </si>
  <si>
    <t>Company A’s EBITDA margin is 427 bps higher than Company B’s EBITDA margin</t>
  </si>
  <si>
    <t>Company B’s EBITDA margin is 450 bps higher than Company A’s EBITDA margin</t>
  </si>
  <si>
    <t>Company A’s EBITDA margin is 518 bps higher than Company B’s EBITDA margin</t>
  </si>
  <si>
    <t>EBITDA stands for Earnings Before Interest, Taxes, Depreciation, and Amortization and is a metric used to evaluate a company’s operating performance. Interest Expense is also expressed as finance cost in some cases.
EBITDA = Net Income + Interest Expense + Taxes + Depreciation and Amortization
EBITDA Margin = EBITDA/Sales
EBITDA for Company A = 2763.1 + 180.4 + 1330 + 241.2 = 4514.7
EBITDA Margin for Company A = 4514.7/9100 = 49.61%
EBITDA for Company B = 1962.8 + 195.2 + 966.8 + 218.6 = 3343.4
EBITDA Margin for Company B = 3343.4/7524 = 44.43%
Difference in EBITDA Margin = 49.61% - 44.43% = 5.18%
Thus, the difference in EBITDA margin is 518 basis points.</t>
  </si>
  <si>
    <t>Company A has higher financial leverage as it has higher level of debt</t>
  </si>
  <si>
    <t>Company A has higher financial leverage as it has higher Debt / Asset ratio</t>
  </si>
  <si>
    <t>Company B has higher financial leverage as it has higher Debt / Asset ratio</t>
  </si>
  <si>
    <t>Company B has higher financial leverage as it has higher finance cost</t>
  </si>
  <si>
    <t>The best way to compute financial leverage of a company is to calculate its Debt/Asset Ratio
Debt/Asset Ratio for company A = 1640.5/4687 = 35%
Debt/Asset Ratio for company B = 1626.8/4067 = 40%
Thus, the debt level of company B is more and thus it has more financial leverage</t>
  </si>
  <si>
    <t>Q5</t>
  </si>
  <si>
    <t>Q6</t>
  </si>
  <si>
    <t>Which of the following is closest to operating profit of Company B for the year ending 2XX9?</t>
  </si>
  <si>
    <t>Rs.2,929.6 lakhs</t>
  </si>
  <si>
    <t>Rs.3,124.8 lakhs</t>
  </si>
  <si>
    <t>Rs.3,343.4 lakhs</t>
  </si>
  <si>
    <t>Rs.3,945.5 lakhs</t>
  </si>
  <si>
    <t>Operating Profit, also called as EBIT is the Net Profit + Interest + Taxes
Operating Profit for Company B = 1962.8 + 966.8 + 195.2 = 3124.8</t>
  </si>
  <si>
    <t>Company A has a higher return on equity (ROE) compared to Company B. Which of the following combination of factors have favourably contributed to the higher ROE?</t>
  </si>
  <si>
    <t>Higher net profit margin and higher activity ratio</t>
  </si>
  <si>
    <t>Higher net profit margin, higher activity ratio and lower financial leverage</t>
  </si>
  <si>
    <t>Higher net profit margin, higher activity ratio and higher financial leverage</t>
  </si>
  <si>
    <t>Higher net profit margin</t>
  </si>
  <si>
    <t>According to the DuPont analysis, ROE is broken up into three parts: Profit margin, Asset Turnover (i.e. Activity Ratio) and Equity Multiplier (Financial Leverage)
Let’s calculate the ROE for both companies
Profit Margin (A) = PAT/Net Sales
Asset Turnover (B) = Sales/Fixed Assets
Equity Multiplier (C) = Fixed Assets/ Net Worth
ROE = A * B * C
Company A
(A): 2763.1/9100 = 0.3036
(B): 9100/2412 = 3.7728
(C): 2412/3046.6 = 0.7917
ROE: 0.3036 * 3.7728 *0.7917 = 0.9068 =90.68%
Company B
(A): 1962.8/7254 = 0.2705
(B): 7524/2186 = 3.4419
(C): 2186/2440.2 = 0.8958
ROE: 0.2705 * 3.4419 * 0.8958 = 0.8340 = 83.40%
From the above calculation, we can see that ROE for company A is better and the metrics Net Profit Margin and Asset Turnover are better than that of Company B.</t>
  </si>
  <si>
    <t>Which of the following is closest to the capital expenditure incurred by the company in 2XX7?</t>
  </si>
  <si>
    <t>Which of the following is closest to the estimated revenue for 2XX8, if revenue is expected to grow at the same rate at which it grew in 2XX7?</t>
  </si>
  <si>
    <t>The company expects that the revenue of 2XX8 is likely to be Rs.9,500 lakhs. It further estimates 25 bps decrease in EBITDA margin compared to previous year. Which of the following is closest to the estimated EBITDA for 2XX8 as per the company guidance?</t>
  </si>
  <si>
    <t>The company also estimates that its networking capital ratio (i.e. net working capital as a % of revenue) in 2XX8 is likely to remain same compared to previous year. Which of the following is closest to increase / (decrease) in working capital, if the expected revenue of 2XX8 is Rs.9,500 lakhs?</t>
  </si>
  <si>
    <t>The company is expected to repay Rs.200 lakhs of debt on the first day of financial year 2XX8. Assuming the company’s average interest rate remains unchanged, which of the following is the closest to the expected finance cost for 2XX8?</t>
  </si>
  <si>
    <t>The profit for 2XX8 is estimated to be Rs.3,200 lakhs and the company is expected to pay an interim dividend of Rs.900 lakhs and a special dividend of Rs.1,000 lakhs during the year. No other dividend, shares buy back or issue of shares are expected. Which of the following is the closest to the estimated book value of equity at the end of 2XX8?</t>
  </si>
  <si>
    <t>Rs.5.0 lakhs</t>
  </si>
  <si>
    <t>Rs.6.2 lakhs</t>
  </si>
  <si>
    <t>Rs.241.2 lakhs</t>
  </si>
  <si>
    <t>Rs.246.2 lakhs</t>
  </si>
  <si>
    <t>Rs. 9,100 lakhs</t>
  </si>
  <si>
    <t>Rs. 9,558 lakhs</t>
  </si>
  <si>
    <t>Rs. 9,582 lakhs</t>
  </si>
  <si>
    <t>Rs. 9,614 lakhs</t>
  </si>
  <si>
    <t>Rs.2,647 lakhs</t>
  </si>
  <si>
    <t>Rs.2,860 lakhs</t>
  </si>
  <si>
    <t>Rs.4,475 lakhs</t>
  </si>
  <si>
    <t>Rs.4,689 lakhs</t>
  </si>
  <si>
    <t>Rs.0.0 lakhs</t>
  </si>
  <si>
    <t>Rs.100.0 lakhs</t>
  </si>
  <si>
    <t>Rs.275.0 lakhs</t>
  </si>
  <si>
    <t>Rs.400.0 lakhs</t>
  </si>
  <si>
    <t>Rs.144 lakhs</t>
  </si>
  <si>
    <t>Rs.172 lakhs</t>
  </si>
  <si>
    <t>Rs.180 lakhs</t>
  </si>
  <si>
    <t>Rs.200 lakhs</t>
  </si>
  <si>
    <t>Rs.1,300 lakhs</t>
  </si>
  <si>
    <t>Rs.4,347 lakhs</t>
  </si>
  <si>
    <t>Rs.5,347 lakhs</t>
  </si>
  <si>
    <t>Rs.6,247 lakhs</t>
  </si>
  <si>
    <t>Capital Expenditure for the company = Ending Fixed Assets – Beginning Fixed Assets + Depreciation and Amortization
Capital Expenditure for the company in Year 2xx7 = 2412 – 2407 + 241.2 = 246.2</t>
  </si>
  <si>
    <t>Growth Rate for Revenue from 2xx6 to 2xx7 = (Sales of 2xx7/Sales of 2xx6)-1 = (9100/8642)-1 = 0.0529 = 5.29%
Now if Sales grow at same rate, expected sales is Year 2xx8 = (Sales in 2xx7) * (1 + growth rate)
Expected sales in 2xx8 = 9100 * (1+5.29%) = 9100 * (1.0529) = 9581.39
Thus, expected sales are Rs. 9582 Lakhs</t>
  </si>
  <si>
    <t>First, lets calculate the EBITDA margin for Year 2xx7
EBITDA = Net Income + Interest Expense + Taxes + Depreciation and Amortization
EBITDA for Company = 2763.1 + 180.4 + 1330 + 241.2 = 4514.7
EBITDA Margin = EBITDA/Sales
EBITDA Margin for Company = 4514.7/9100 = 49.61%
Now company expects the margin to decrease by 25 bps meaning the margin will be 49.36% (49.61% - 0.25%)
Expected Sales are 9500 Lakhs
Therefore, Expected EBITDA = 9500 * 0.4936 = 4689.2 Lakhs</t>
  </si>
  <si>
    <t>First, let’s calculate the net working Capital as a % of Revenue for Year 2xx7
Ratio = 2275/9100 = 0.25 = 25%
If the Ratio remains the same and the expected Sales for 2xx8 are 9500, the networking capital for year 2xx8 will be:
9500 * 0.25 = 2375
There change is working capital is 100 (2375 – 2275)</t>
  </si>
  <si>
    <t>First, lets calculate the average interest rate for year 2xx7.
Interest Rate = Finance Cost/Total Capital = 180.4/4687 = 3.84%
Now, if the company pays off 200 Lakhs worth of debt on the first day of Year 2xx8 and the average interest rate remains the same, the scenario would look as follows:
Total Capital = Total Capital as on Year 2xx7 – 200 = 4687 – 200 = 4487
Interest Rate of 3.84% on 4487 = 4487 * 0.0384 = 172.03
Thus, Option B is correct</t>
  </si>
  <si>
    <t>Ending Book Value of Equity = Beginning Book Value of Equity + Net Income – Dividends Paid
Ending Book Value of Equity for Company = 3046.6 + 3200 – 1900 = 4346.6 Lakhs
Thus estimated book value of equity at the end of year 2xx8 = 4347 Lakhs</t>
  </si>
  <si>
    <t>IMG: Case 7.png</t>
  </si>
  <si>
    <t>IMG: Case 6.png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</si>
</sst>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8" formatCode="&quot;₹&quot;\ #,##0.00;[Red]&quot;₹&quot;\ \-#,##0.00"/>
  </numFmts>
  <fonts count="2" x14ac:knownFonts="1">
    <font>
      <sz val="11"/>
      <color theme="1"/>
      <name val="Aptos Narrow"/>
      <family val="2"/>
      <scheme val="minor"/>
    </font>
    <font>
      <sz val="8"/>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8" fontId="0" fillId="0" borderId="0" xfId="0" applyNumberFormat="1"/>
    <xf numFmtId="0" fontId="0" fillId="0" borderId="0" xfId="0" applyAlignment="1">
      <alignment wrapText="1"/>
    </xf>
    <xf numFmtId="10" fontId="0" fillId="0" borderId="0" xfId="0" applyNumberFormat="1"/>
    <xf numFmtId="9" fontId="0" fillId="0" borderId="0" xfId="0" applyNumberFormat="1"/>
    <xf numFmtId="9" fontId="0" fillId="2" borderId="0" xfId="0" applyNumberFormat="1" applyFill="1"/>
    <xf numFmtId="0" fontId="0" fillId="0" borderId="1" xfId="0" applyBorder="1"/>
    <xf numFmtId="0" fontId="0" fillId="0" borderId="1" xfId="0" applyBorder="1" applyAlignment="1">
      <alignment horizontal="left" vertical="top"/>
    </xf>
    <xf numFmtId="0" fontId="0" fillId="2" borderId="1" xfId="0" applyFill="1" applyBorder="1" applyAlignment="1">
      <alignment horizontal="left" vertical="top"/>
    </xf>
    <xf numFmtId="0" fontId="0" fillId="0" borderId="1" xfId="0" applyBorder="1" applyAlignment="1">
      <alignment wrapText="1"/>
    </xf>
    <xf numFmtId="10" fontId="0" fillId="0" borderId="1" xfId="0" applyNumberFormat="1" applyBorder="1" applyAlignment="1">
      <alignment horizontal="left" vertical="top"/>
    </xf>
    <xf numFmtId="10" fontId="0" fillId="2" borderId="1" xfId="0" applyNumberFormat="1" applyFill="1" applyBorder="1" applyAlignment="1">
      <alignment horizontal="left" vertical="top"/>
    </xf>
    <xf numFmtId="0" fontId="0" fillId="0" borderId="1" xfId="0" applyBorder="1" applyAlignment="1">
      <alignment horizontal="left" vertical="top" wrapText="1"/>
    </xf>
    <xf numFmtId="0" fontId="0" fillId="0" borderId="0" xfId="0" applyAlignment="1">
      <alignment horizontal="left" vertical="top" wrapText="1"/>
    </xf>
    <xf numFmtId="0" fontId="0" fillId="2" borderId="1" xfId="0" applyFill="1" applyBorder="1" applyAlignment="1">
      <alignment horizontal="left" vertical="top" wrapText="1"/>
    </xf>
    <xf numFmtId="10" fontId="0" fillId="0" borderId="1" xfId="0" applyNumberFormat="1" applyBorder="1" applyAlignment="1">
      <alignment horizontal="left" vertical="top" wrapText="1"/>
    </xf>
    <xf numFmtId="9" fontId="0" fillId="0" borderId="1" xfId="0" applyNumberFormat="1" applyBorder="1" applyAlignment="1">
      <alignment horizontal="left" vertical="top" wrapText="1"/>
    </xf>
    <xf numFmtId="9" fontId="0" fillId="2" borderId="1" xfId="0" applyNumberFormat="1" applyFill="1" applyBorder="1" applyAlignment="1">
      <alignment horizontal="left" vertical="top" wrapText="1"/>
    </xf>
    <xf numFmtId="0" fontId="0" fillId="3" borderId="1" xfId="0"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96250-E0EC-41F6-BE6F-BD0A07A909DD}">
  <dimension ref="A1:H7"/>
  <sheetViews>
    <sheetView workbookViewId="0">
      <selection activeCell="A4" sqref="A4"/>
    </sheetView>
  </sheetViews>
  <sheetFormatPr defaultRowHeight="15" x14ac:dyDescent="0.25"/>
  <cols>
    <col min="1" max="1" width="11.7109375" bestFit="1" customWidth="1"/>
    <col min="2" max="2" width="155.5703125" bestFit="1" customWidth="1"/>
    <col min="3" max="3" width="18.28515625" bestFit="1" customWidth="1"/>
    <col min="4" max="4" width="17.28515625" bestFit="1" customWidth="1"/>
    <col min="5" max="5" width="18.7109375" bestFit="1" customWidth="1"/>
    <col min="6" max="6" width="14.28515625" bestFit="1" customWidth="1"/>
    <col min="7" max="7" width="7.42578125" bestFit="1" customWidth="1"/>
    <col min="8" max="8" width="132.140625" bestFit="1" customWidth="1"/>
  </cols>
  <sheetData>
    <row r="1" spans="1:8" ht="75" x14ac:dyDescent="0.25">
      <c r="B1" s="2" t="s">
        <v>33</v>
      </c>
    </row>
    <row r="2" spans="1:8" x14ac:dyDescent="0.25">
      <c r="B2" s="2"/>
    </row>
    <row r="3" spans="1:8" x14ac:dyDescent="0.25">
      <c r="A3" s="6" t="s">
        <v>64</v>
      </c>
      <c r="B3" s="6" t="s">
        <v>65</v>
      </c>
      <c r="C3" s="6" t="s">
        <v>66</v>
      </c>
      <c r="D3" s="6" t="s">
        <v>67</v>
      </c>
      <c r="E3" s="6" t="s">
        <v>68</v>
      </c>
      <c r="F3" s="6" t="s">
        <v>69</v>
      </c>
      <c r="G3" s="6" t="s">
        <v>70</v>
      </c>
      <c r="H3" s="6" t="s">
        <v>74</v>
      </c>
    </row>
    <row r="4" spans="1:8" ht="270" x14ac:dyDescent="0.25">
      <c r="A4" s="7" t="s">
        <v>75</v>
      </c>
      <c r="B4" s="7" t="s">
        <v>76</v>
      </c>
      <c r="C4" s="7" t="s">
        <v>34</v>
      </c>
      <c r="D4" s="8" t="s">
        <v>35</v>
      </c>
      <c r="E4" s="7" t="s">
        <v>36</v>
      </c>
      <c r="F4" s="7" t="s">
        <v>37</v>
      </c>
      <c r="G4" s="7" t="s">
        <v>71</v>
      </c>
      <c r="H4" s="9" t="s">
        <v>83</v>
      </c>
    </row>
    <row r="5" spans="1:8" ht="330" x14ac:dyDescent="0.25">
      <c r="A5" s="7" t="s">
        <v>77</v>
      </c>
      <c r="B5" s="7" t="s">
        <v>78</v>
      </c>
      <c r="C5" s="7" t="s">
        <v>38</v>
      </c>
      <c r="D5" s="7" t="s">
        <v>39</v>
      </c>
      <c r="E5" s="7" t="s">
        <v>34</v>
      </c>
      <c r="F5" s="8" t="s">
        <v>40</v>
      </c>
      <c r="G5" s="7" t="s">
        <v>72</v>
      </c>
      <c r="H5" s="9" t="s">
        <v>84</v>
      </c>
    </row>
    <row r="6" spans="1:8" ht="375" x14ac:dyDescent="0.25">
      <c r="A6" s="7" t="s">
        <v>79</v>
      </c>
      <c r="B6" s="7" t="s">
        <v>80</v>
      </c>
      <c r="C6" s="8" t="s">
        <v>41</v>
      </c>
      <c r="D6" s="7" t="s">
        <v>42</v>
      </c>
      <c r="E6" s="7" t="s">
        <v>47</v>
      </c>
      <c r="F6" s="7" t="s">
        <v>48</v>
      </c>
      <c r="G6" s="7" t="s">
        <v>73</v>
      </c>
      <c r="H6" s="9" t="s">
        <v>85</v>
      </c>
    </row>
    <row r="7" spans="1:8" ht="345" x14ac:dyDescent="0.25">
      <c r="A7" s="7" t="s">
        <v>81</v>
      </c>
      <c r="B7" s="7" t="s">
        <v>82</v>
      </c>
      <c r="C7" s="7" t="s">
        <v>43</v>
      </c>
      <c r="D7" s="8" t="s">
        <v>44</v>
      </c>
      <c r="E7" s="7" t="s">
        <v>45</v>
      </c>
      <c r="F7" s="7" t="s">
        <v>46</v>
      </c>
      <c r="G7" s="7" t="s">
        <v>71</v>
      </c>
      <c r="H7" s="9"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EDD49-34CC-4B42-AED5-3DAD0ACA7221}">
  <dimension ref="A1:M33"/>
  <sheetViews>
    <sheetView workbookViewId="0">
      <selection activeCell="B4" sqref="B4"/>
    </sheetView>
  </sheetViews>
  <sheetFormatPr defaultRowHeight="15" x14ac:dyDescent="0.25"/>
  <cols>
    <col min="1" max="1" width="11.7109375" bestFit="1" customWidth="1"/>
    <col min="2" max="2" width="126" customWidth="1"/>
    <col min="3" max="3" width="14.85546875" bestFit="1" customWidth="1"/>
    <col min="4" max="4" width="16.28515625" bestFit="1" customWidth="1"/>
    <col min="5" max="5" width="15.28515625" bestFit="1" customWidth="1"/>
    <col min="6" max="6" width="15.85546875" bestFit="1" customWidth="1"/>
    <col min="7" max="7" width="7.42578125" bestFit="1" customWidth="1"/>
    <col min="8" max="8" width="105.7109375" customWidth="1"/>
  </cols>
  <sheetData>
    <row r="1" spans="1:8" ht="90" x14ac:dyDescent="0.25">
      <c r="B1" s="2" t="s">
        <v>96</v>
      </c>
    </row>
    <row r="3" spans="1:8" x14ac:dyDescent="0.25">
      <c r="A3" s="7" t="s">
        <v>64</v>
      </c>
      <c r="B3" s="7" t="s">
        <v>65</v>
      </c>
      <c r="C3" s="7" t="s">
        <v>66</v>
      </c>
      <c r="D3" s="7" t="s">
        <v>67</v>
      </c>
      <c r="E3" s="7" t="s">
        <v>68</v>
      </c>
      <c r="F3" s="7" t="s">
        <v>69</v>
      </c>
      <c r="G3" s="7" t="s">
        <v>70</v>
      </c>
      <c r="H3" s="6" t="s">
        <v>74</v>
      </c>
    </row>
    <row r="4" spans="1:8" ht="225" x14ac:dyDescent="0.25">
      <c r="A4" s="7" t="s">
        <v>75</v>
      </c>
      <c r="B4" s="7" t="s">
        <v>88</v>
      </c>
      <c r="C4" s="10">
        <v>0.43690000000000001</v>
      </c>
      <c r="D4" s="10">
        <v>0.63770000000000004</v>
      </c>
      <c r="E4" s="11">
        <v>0.57579999999999998</v>
      </c>
      <c r="F4" s="10">
        <v>0.49249999999999999</v>
      </c>
      <c r="G4" s="7" t="s">
        <v>87</v>
      </c>
      <c r="H4" s="9" t="s">
        <v>95</v>
      </c>
    </row>
    <row r="5" spans="1:8" ht="240" x14ac:dyDescent="0.25">
      <c r="A5" s="7" t="s">
        <v>77</v>
      </c>
      <c r="B5" s="7" t="s">
        <v>89</v>
      </c>
      <c r="C5" s="7" t="s">
        <v>21</v>
      </c>
      <c r="D5" s="7" t="s">
        <v>22</v>
      </c>
      <c r="E5" s="7" t="s">
        <v>23</v>
      </c>
      <c r="F5" s="8" t="s">
        <v>24</v>
      </c>
      <c r="G5" s="7" t="s">
        <v>72</v>
      </c>
      <c r="H5" s="9" t="s">
        <v>94</v>
      </c>
    </row>
    <row r="6" spans="1:8" ht="150" x14ac:dyDescent="0.25">
      <c r="A6" s="7" t="s">
        <v>79</v>
      </c>
      <c r="B6" s="12" t="s">
        <v>90</v>
      </c>
      <c r="C6" s="7" t="s">
        <v>25</v>
      </c>
      <c r="D6" s="8" t="s">
        <v>26</v>
      </c>
      <c r="E6" s="7" t="s">
        <v>27</v>
      </c>
      <c r="F6" s="7" t="s">
        <v>28</v>
      </c>
      <c r="G6" s="7" t="s">
        <v>71</v>
      </c>
      <c r="H6" s="9" t="s">
        <v>93</v>
      </c>
    </row>
    <row r="7" spans="1:8" ht="90" x14ac:dyDescent="0.25">
      <c r="A7" s="7" t="s">
        <v>81</v>
      </c>
      <c r="B7" s="7" t="s">
        <v>91</v>
      </c>
      <c r="C7" s="8" t="s">
        <v>29</v>
      </c>
      <c r="D7" s="7" t="s">
        <v>30</v>
      </c>
      <c r="E7" s="7" t="s">
        <v>31</v>
      </c>
      <c r="F7" s="7" t="s">
        <v>32</v>
      </c>
      <c r="G7" s="7" t="s">
        <v>73</v>
      </c>
      <c r="H7" s="9" t="s">
        <v>92</v>
      </c>
    </row>
    <row r="33" spans="13:13" x14ac:dyDescent="0.25">
      <c r="M33" s="1">
        <f>FV(12%,1,0,-330)</f>
        <v>369.6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B9E16-9F58-446C-8FE7-F7028D7547DC}">
  <dimension ref="A1:H16"/>
  <sheetViews>
    <sheetView topLeftCell="A7" workbookViewId="0">
      <selection activeCell="A4" sqref="A4:A7"/>
    </sheetView>
  </sheetViews>
  <sheetFormatPr defaultRowHeight="15" x14ac:dyDescent="0.25"/>
  <cols>
    <col min="1" max="1" width="10.7109375" bestFit="1" customWidth="1"/>
    <col min="2" max="2" width="90.5703125" customWidth="1"/>
    <col min="8" max="8" width="117.28515625" customWidth="1"/>
  </cols>
  <sheetData>
    <row r="1" spans="1:8" ht="90" x14ac:dyDescent="0.25">
      <c r="A1" s="2"/>
      <c r="B1" s="2" t="s">
        <v>97</v>
      </c>
    </row>
    <row r="2" spans="1:8" x14ac:dyDescent="0.25">
      <c r="A2" s="2"/>
    </row>
    <row r="3" spans="1:8" x14ac:dyDescent="0.25">
      <c r="A3" s="7" t="s">
        <v>64</v>
      </c>
      <c r="B3" s="7" t="s">
        <v>65</v>
      </c>
      <c r="C3" s="7" t="s">
        <v>66</v>
      </c>
      <c r="D3" s="7" t="s">
        <v>67</v>
      </c>
      <c r="E3" s="7" t="s">
        <v>68</v>
      </c>
      <c r="F3" s="7" t="s">
        <v>69</v>
      </c>
      <c r="G3" s="7" t="s">
        <v>70</v>
      </c>
      <c r="H3" s="6" t="s">
        <v>74</v>
      </c>
    </row>
    <row r="4" spans="1:8" ht="270" x14ac:dyDescent="0.25">
      <c r="A4" s="7" t="s">
        <v>75</v>
      </c>
      <c r="B4" s="12" t="s">
        <v>9</v>
      </c>
      <c r="C4" s="7" t="s">
        <v>10</v>
      </c>
      <c r="D4" s="7" t="s">
        <v>14</v>
      </c>
      <c r="E4" s="7" t="s">
        <v>16</v>
      </c>
      <c r="F4" s="7" t="s">
        <v>15</v>
      </c>
      <c r="G4" s="7" t="s">
        <v>71</v>
      </c>
      <c r="H4" s="2" t="s">
        <v>98</v>
      </c>
    </row>
    <row r="5" spans="1:8" ht="165" x14ac:dyDescent="0.25">
      <c r="A5" s="7" t="s">
        <v>77</v>
      </c>
      <c r="B5" s="12" t="s">
        <v>11</v>
      </c>
      <c r="C5" s="12" t="s">
        <v>17</v>
      </c>
      <c r="D5" s="12" t="s">
        <v>18</v>
      </c>
      <c r="E5" s="12" t="s">
        <v>19</v>
      </c>
      <c r="F5" s="12" t="s">
        <v>20</v>
      </c>
      <c r="G5" s="7" t="s">
        <v>73</v>
      </c>
      <c r="H5" s="9" t="s">
        <v>101</v>
      </c>
    </row>
    <row r="6" spans="1:8" ht="330" x14ac:dyDescent="0.25">
      <c r="A6" s="7" t="s">
        <v>79</v>
      </c>
      <c r="B6" s="12" t="s">
        <v>12</v>
      </c>
      <c r="C6" s="7">
        <v>0.1168</v>
      </c>
      <c r="D6" s="7">
        <v>0.13250000000000001</v>
      </c>
      <c r="E6" s="7">
        <v>9.8500000000000004E-2</v>
      </c>
      <c r="F6" s="7">
        <v>0.128</v>
      </c>
      <c r="G6" s="7" t="s">
        <v>71</v>
      </c>
      <c r="H6" s="9" t="s">
        <v>99</v>
      </c>
    </row>
    <row r="7" spans="1:8" ht="270" x14ac:dyDescent="0.25">
      <c r="A7" s="7" t="s">
        <v>81</v>
      </c>
      <c r="B7" s="12" t="s">
        <v>13</v>
      </c>
      <c r="C7" s="7">
        <v>0.09</v>
      </c>
      <c r="D7" s="7">
        <v>4.8000000000000001E-2</v>
      </c>
      <c r="E7" s="7">
        <v>0.06</v>
      </c>
      <c r="F7" s="7">
        <v>8.2000000000000003E-2</v>
      </c>
      <c r="G7" s="7" t="s">
        <v>87</v>
      </c>
      <c r="H7" s="9" t="s">
        <v>100</v>
      </c>
    </row>
    <row r="9" spans="1:8" x14ac:dyDescent="0.25">
      <c r="A9" s="2"/>
    </row>
    <row r="10" spans="1:8" x14ac:dyDescent="0.25">
      <c r="A10" s="4"/>
    </row>
    <row r="11" spans="1:8" x14ac:dyDescent="0.25">
      <c r="A11" s="3"/>
    </row>
    <row r="12" spans="1:8" x14ac:dyDescent="0.25">
      <c r="A12" s="5"/>
    </row>
    <row r="13" spans="1:8" x14ac:dyDescent="0.25">
      <c r="A13" s="3"/>
    </row>
    <row r="14" spans="1:8" x14ac:dyDescent="0.25">
      <c r="A14" s="3"/>
    </row>
    <row r="16" spans="1:8" x14ac:dyDescent="0.25">
      <c r="A16"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CDB2F-626E-4298-9A86-1618491D5242}">
  <dimension ref="A1:H7"/>
  <sheetViews>
    <sheetView topLeftCell="A7" workbookViewId="0">
      <selection activeCell="A4" sqref="A4:A7"/>
    </sheetView>
  </sheetViews>
  <sheetFormatPr defaultRowHeight="15" x14ac:dyDescent="0.25"/>
  <cols>
    <col min="1" max="1" width="10.7109375" bestFit="1" customWidth="1"/>
    <col min="2" max="2" width="145.140625" customWidth="1"/>
    <col min="6" max="6" width="12.5703125" customWidth="1"/>
    <col min="8" max="8" width="75.5703125" customWidth="1"/>
  </cols>
  <sheetData>
    <row r="1" spans="1:8" ht="120" x14ac:dyDescent="0.25">
      <c r="B1" s="2" t="s">
        <v>105</v>
      </c>
    </row>
    <row r="3" spans="1:8" x14ac:dyDescent="0.25">
      <c r="A3" s="7" t="s">
        <v>64</v>
      </c>
      <c r="B3" s="7" t="s">
        <v>65</v>
      </c>
      <c r="C3" s="7" t="s">
        <v>66</v>
      </c>
      <c r="D3" s="7" t="s">
        <v>67</v>
      </c>
      <c r="E3" s="7" t="s">
        <v>68</v>
      </c>
      <c r="F3" s="7" t="s">
        <v>69</v>
      </c>
      <c r="G3" s="7" t="s">
        <v>70</v>
      </c>
      <c r="H3" s="6" t="s">
        <v>74</v>
      </c>
    </row>
    <row r="4" spans="1:8" ht="120" x14ac:dyDescent="0.25">
      <c r="A4" s="7" t="s">
        <v>75</v>
      </c>
      <c r="B4" s="12" t="s">
        <v>1</v>
      </c>
      <c r="C4" s="14" t="s">
        <v>2</v>
      </c>
      <c r="D4" s="12" t="s">
        <v>4</v>
      </c>
      <c r="E4" s="12" t="s">
        <v>3</v>
      </c>
      <c r="F4" s="12" t="s">
        <v>0</v>
      </c>
      <c r="G4" s="12" t="s">
        <v>73</v>
      </c>
      <c r="H4" s="12" t="s">
        <v>5</v>
      </c>
    </row>
    <row r="5" spans="1:8" ht="120" x14ac:dyDescent="0.25">
      <c r="A5" s="7" t="s">
        <v>77</v>
      </c>
      <c r="B5" s="12" t="s">
        <v>6</v>
      </c>
      <c r="C5" s="15">
        <v>0.105</v>
      </c>
      <c r="D5" s="15">
        <v>0.14799999999999999</v>
      </c>
      <c r="E5" s="16">
        <v>0.11</v>
      </c>
      <c r="F5" s="17">
        <v>0.12</v>
      </c>
      <c r="G5" s="12" t="s">
        <v>72</v>
      </c>
      <c r="H5" s="12" t="s">
        <v>102</v>
      </c>
    </row>
    <row r="6" spans="1:8" ht="120" x14ac:dyDescent="0.25">
      <c r="A6" s="7" t="s">
        <v>79</v>
      </c>
      <c r="B6" s="12" t="s">
        <v>7</v>
      </c>
      <c r="C6" s="14" t="s">
        <v>2</v>
      </c>
      <c r="D6" s="12" t="s">
        <v>4</v>
      </c>
      <c r="E6" s="12" t="s">
        <v>3</v>
      </c>
      <c r="F6" s="12" t="s">
        <v>0</v>
      </c>
      <c r="G6" s="12" t="s">
        <v>73</v>
      </c>
      <c r="H6" s="12" t="s">
        <v>103</v>
      </c>
    </row>
    <row r="7" spans="1:8" ht="300" x14ac:dyDescent="0.25">
      <c r="A7" s="7" t="s">
        <v>81</v>
      </c>
      <c r="B7" s="12" t="s">
        <v>8</v>
      </c>
      <c r="C7" s="18" t="s">
        <v>2</v>
      </c>
      <c r="D7" s="14" t="s">
        <v>4</v>
      </c>
      <c r="E7" s="12" t="s">
        <v>3</v>
      </c>
      <c r="F7" s="12" t="s">
        <v>0</v>
      </c>
      <c r="G7" s="12" t="s">
        <v>71</v>
      </c>
      <c r="H7" s="12" t="s">
        <v>104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A3889-F024-4DED-9AE6-26A473053FC8}">
  <dimension ref="A1:H7"/>
  <sheetViews>
    <sheetView workbookViewId="0">
      <selection activeCell="B4" sqref="B4"/>
    </sheetView>
  </sheetViews>
  <sheetFormatPr defaultRowHeight="15" x14ac:dyDescent="0.25"/>
  <cols>
    <col min="1" max="1" width="10.7109375" bestFit="1" customWidth="1"/>
    <col min="2" max="2" width="138.28515625" customWidth="1"/>
    <col min="3" max="6" width="19.85546875" style="13" customWidth="1"/>
    <col min="8" max="8" width="63.7109375" customWidth="1"/>
  </cols>
  <sheetData>
    <row r="1" spans="1:8" ht="120" x14ac:dyDescent="0.25">
      <c r="B1" s="2" t="s">
        <v>106</v>
      </c>
    </row>
    <row r="3" spans="1:8" x14ac:dyDescent="0.25">
      <c r="A3" s="7" t="s">
        <v>64</v>
      </c>
      <c r="B3" s="7" t="s">
        <v>65</v>
      </c>
      <c r="C3" s="12" t="s">
        <v>66</v>
      </c>
      <c r="D3" s="12" t="s">
        <v>67</v>
      </c>
      <c r="E3" s="12" t="s">
        <v>68</v>
      </c>
      <c r="F3" s="12" t="s">
        <v>69</v>
      </c>
      <c r="G3" s="7" t="s">
        <v>70</v>
      </c>
      <c r="H3" s="6" t="s">
        <v>74</v>
      </c>
    </row>
    <row r="4" spans="1:8" ht="165" x14ac:dyDescent="0.25">
      <c r="A4" s="7" t="s">
        <v>75</v>
      </c>
      <c r="B4" s="12" t="s">
        <v>49</v>
      </c>
      <c r="C4" s="12" t="s">
        <v>50</v>
      </c>
      <c r="D4" s="12" t="s">
        <v>51</v>
      </c>
      <c r="E4" s="14" t="s">
        <v>52</v>
      </c>
      <c r="F4" s="12" t="s">
        <v>53</v>
      </c>
      <c r="G4" s="6" t="s">
        <v>87</v>
      </c>
      <c r="H4" s="12" t="s">
        <v>109</v>
      </c>
    </row>
    <row r="5" spans="1:8" ht="165" x14ac:dyDescent="0.25">
      <c r="A5" s="7" t="s">
        <v>77</v>
      </c>
      <c r="B5" s="12" t="s">
        <v>54</v>
      </c>
      <c r="C5" s="12" t="s">
        <v>55</v>
      </c>
      <c r="D5" s="12" t="s">
        <v>56</v>
      </c>
      <c r="E5" s="12" t="s">
        <v>57</v>
      </c>
      <c r="F5" s="14" t="s">
        <v>58</v>
      </c>
      <c r="G5" s="6" t="s">
        <v>72</v>
      </c>
      <c r="H5" s="12" t="s">
        <v>110</v>
      </c>
    </row>
    <row r="6" spans="1:8" ht="270" x14ac:dyDescent="0.25">
      <c r="A6" s="7" t="s">
        <v>79</v>
      </c>
      <c r="B6" s="12" t="s">
        <v>59</v>
      </c>
      <c r="C6" s="14" t="s">
        <v>60</v>
      </c>
      <c r="D6" s="12" t="s">
        <v>51</v>
      </c>
      <c r="E6" s="12" t="s">
        <v>61</v>
      </c>
      <c r="F6" s="12"/>
      <c r="G6" s="6" t="s">
        <v>73</v>
      </c>
      <c r="H6" s="12" t="s">
        <v>111</v>
      </c>
    </row>
    <row r="7" spans="1:8" ht="165" x14ac:dyDescent="0.25">
      <c r="A7" s="7" t="s">
        <v>81</v>
      </c>
      <c r="B7" s="12" t="s">
        <v>62</v>
      </c>
      <c r="C7" s="14" t="s">
        <v>63</v>
      </c>
      <c r="D7" s="12" t="s">
        <v>108</v>
      </c>
      <c r="E7" s="12" t="s">
        <v>107</v>
      </c>
      <c r="F7" s="12"/>
      <c r="G7" s="6" t="s">
        <v>73</v>
      </c>
      <c r="H7" s="12" t="s">
        <v>112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9CB08A-8EFD-4E9F-AAF5-BB242D089D92}">
  <dimension ref="A1:H9"/>
  <sheetViews>
    <sheetView tabSelected="1" workbookViewId="0">
      <selection activeCell="B2" sqref="B2"/>
    </sheetView>
  </sheetViews>
  <sheetFormatPr defaultRowHeight="15" x14ac:dyDescent="0.25"/>
  <cols>
    <col min="1" max="1" width="11.7109375" bestFit="1" customWidth="1"/>
    <col min="2" max="2" width="82.28515625" customWidth="1"/>
    <col min="3" max="3" width="12" customWidth="1"/>
    <col min="4" max="6" width="12" bestFit="1" customWidth="1"/>
    <col min="8" max="8" width="76.28515625" customWidth="1"/>
  </cols>
  <sheetData>
    <row r="1" spans="1:8" x14ac:dyDescent="0.25">
      <c r="B1" t="s">
        <v>188</v>
      </c>
    </row>
    <row r="3" spans="1:8" x14ac:dyDescent="0.25">
      <c r="A3" s="7" t="s">
        <v>64</v>
      </c>
      <c r="B3" s="7" t="s">
        <v>65</v>
      </c>
      <c r="C3" s="12" t="s">
        <v>66</v>
      </c>
      <c r="D3" s="12" t="s">
        <v>67</v>
      </c>
      <c r="E3" s="12" t="s">
        <v>68</v>
      </c>
      <c r="F3" s="12" t="s">
        <v>69</v>
      </c>
      <c r="G3" s="7" t="s">
        <v>70</v>
      </c>
      <c r="H3" s="6" t="s">
        <v>74</v>
      </c>
    </row>
    <row r="4" spans="1:8" ht="225" x14ac:dyDescent="0.25">
      <c r="A4" s="7" t="s">
        <v>75</v>
      </c>
      <c r="B4" s="12" t="s">
        <v>113</v>
      </c>
      <c r="C4" s="12" t="s">
        <v>114</v>
      </c>
      <c r="D4" s="12" t="s">
        <v>115</v>
      </c>
      <c r="E4" s="12" t="s">
        <v>116</v>
      </c>
      <c r="F4" s="12" t="s">
        <v>117</v>
      </c>
      <c r="G4" s="12" t="s">
        <v>71</v>
      </c>
      <c r="H4" s="12" t="s">
        <v>118</v>
      </c>
    </row>
    <row r="5" spans="1:8" ht="315" x14ac:dyDescent="0.25">
      <c r="A5" s="7" t="s">
        <v>77</v>
      </c>
      <c r="B5" s="12" t="s">
        <v>119</v>
      </c>
      <c r="C5" s="12" t="s">
        <v>120</v>
      </c>
      <c r="D5" s="12" t="s">
        <v>121</v>
      </c>
      <c r="E5" s="12" t="s">
        <v>122</v>
      </c>
      <c r="F5" s="12" t="s">
        <v>123</v>
      </c>
      <c r="G5" s="12" t="s">
        <v>71</v>
      </c>
      <c r="H5" s="12" t="s">
        <v>124</v>
      </c>
    </row>
    <row r="6" spans="1:8" ht="210" x14ac:dyDescent="0.25">
      <c r="A6" s="7" t="s">
        <v>79</v>
      </c>
      <c r="B6" s="12" t="s">
        <v>125</v>
      </c>
      <c r="C6" s="12" t="s">
        <v>127</v>
      </c>
      <c r="D6" s="12" t="s">
        <v>128</v>
      </c>
      <c r="E6" s="12" t="s">
        <v>129</v>
      </c>
      <c r="F6" s="12" t="s">
        <v>130</v>
      </c>
      <c r="G6" s="12" t="s">
        <v>72</v>
      </c>
      <c r="H6" s="12" t="s">
        <v>131</v>
      </c>
    </row>
    <row r="7" spans="1:8" ht="105" x14ac:dyDescent="0.25">
      <c r="A7" s="7" t="s">
        <v>81</v>
      </c>
      <c r="B7" s="12" t="s">
        <v>126</v>
      </c>
      <c r="C7" s="12" t="s">
        <v>132</v>
      </c>
      <c r="D7" s="12" t="s">
        <v>133</v>
      </c>
      <c r="E7" s="12" t="s">
        <v>134</v>
      </c>
      <c r="F7" s="12" t="s">
        <v>135</v>
      </c>
      <c r="G7" s="12" t="s">
        <v>87</v>
      </c>
      <c r="H7" s="12" t="s">
        <v>136</v>
      </c>
    </row>
    <row r="8" spans="1:8" ht="45" x14ac:dyDescent="0.25">
      <c r="A8" s="7" t="s">
        <v>137</v>
      </c>
      <c r="B8" s="12" t="s">
        <v>139</v>
      </c>
      <c r="C8" s="12" t="s">
        <v>140</v>
      </c>
      <c r="D8" s="12" t="s">
        <v>141</v>
      </c>
      <c r="E8" s="12" t="s">
        <v>142</v>
      </c>
      <c r="F8" s="12" t="s">
        <v>143</v>
      </c>
      <c r="G8" s="12" t="s">
        <v>71</v>
      </c>
      <c r="H8" s="12" t="s">
        <v>144</v>
      </c>
    </row>
    <row r="9" spans="1:8" ht="360" x14ac:dyDescent="0.25">
      <c r="A9" s="7" t="s">
        <v>138</v>
      </c>
      <c r="B9" s="12" t="s">
        <v>145</v>
      </c>
      <c r="C9" s="12" t="s">
        <v>146</v>
      </c>
      <c r="D9" s="12" t="s">
        <v>147</v>
      </c>
      <c r="E9" s="12" t="s">
        <v>148</v>
      </c>
      <c r="F9" s="12" t="s">
        <v>149</v>
      </c>
      <c r="G9" s="12" t="s">
        <v>73</v>
      </c>
      <c r="H9" s="12" t="s">
        <v>150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48B61-3F3C-4B55-A7B1-1529F237D16C}">
  <dimension ref="A1:H9"/>
  <sheetViews>
    <sheetView workbookViewId="0">
      <selection activeCell="B1" sqref="B1"/>
    </sheetView>
  </sheetViews>
  <sheetFormatPr defaultRowHeight="15" x14ac:dyDescent="0.25"/>
  <cols>
    <col min="1" max="1" width="11.7109375" bestFit="1" customWidth="1"/>
    <col min="2" max="2" width="84" customWidth="1"/>
    <col min="3" max="3" width="12" customWidth="1"/>
    <col min="4" max="6" width="12" bestFit="1" customWidth="1"/>
    <col min="8" max="8" width="76.28515625" customWidth="1"/>
  </cols>
  <sheetData>
    <row r="1" spans="1:8" x14ac:dyDescent="0.25">
      <c r="B1" t="s">
        <v>187</v>
      </c>
    </row>
    <row r="3" spans="1:8" x14ac:dyDescent="0.25">
      <c r="A3" s="7" t="s">
        <v>64</v>
      </c>
      <c r="B3" s="7" t="s">
        <v>65</v>
      </c>
      <c r="C3" s="12" t="s">
        <v>66</v>
      </c>
      <c r="D3" s="12" t="s">
        <v>67</v>
      </c>
      <c r="E3" s="12" t="s">
        <v>68</v>
      </c>
      <c r="F3" s="12" t="s">
        <v>69</v>
      </c>
      <c r="G3" s="7" t="s">
        <v>70</v>
      </c>
      <c r="H3" s="6" t="s">
        <v>74</v>
      </c>
    </row>
    <row r="4" spans="1:8" ht="60" x14ac:dyDescent="0.25">
      <c r="A4" s="7" t="s">
        <v>75</v>
      </c>
      <c r="B4" s="12" t="s">
        <v>151</v>
      </c>
      <c r="C4" s="12" t="s">
        <v>157</v>
      </c>
      <c r="D4" s="12" t="s">
        <v>158</v>
      </c>
      <c r="E4" s="12" t="s">
        <v>159</v>
      </c>
      <c r="F4" s="12" t="s">
        <v>160</v>
      </c>
      <c r="G4" s="12" t="s">
        <v>72</v>
      </c>
      <c r="H4" s="12" t="s">
        <v>181</v>
      </c>
    </row>
    <row r="5" spans="1:8" ht="120" x14ac:dyDescent="0.25">
      <c r="A5" s="7" t="s">
        <v>77</v>
      </c>
      <c r="B5" s="12" t="s">
        <v>152</v>
      </c>
      <c r="C5" s="12" t="s">
        <v>161</v>
      </c>
      <c r="D5" s="12" t="s">
        <v>162</v>
      </c>
      <c r="E5" s="12" t="s">
        <v>163</v>
      </c>
      <c r="F5" s="12" t="s">
        <v>164</v>
      </c>
      <c r="G5" s="12" t="s">
        <v>87</v>
      </c>
      <c r="H5" s="12" t="s">
        <v>182</v>
      </c>
    </row>
    <row r="6" spans="1:8" ht="150" x14ac:dyDescent="0.25">
      <c r="A6" s="7" t="s">
        <v>79</v>
      </c>
      <c r="B6" s="12" t="s">
        <v>153</v>
      </c>
      <c r="C6" s="12" t="s">
        <v>165</v>
      </c>
      <c r="D6" s="12" t="s">
        <v>166</v>
      </c>
      <c r="E6" s="12" t="s">
        <v>167</v>
      </c>
      <c r="F6" s="12" t="s">
        <v>168</v>
      </c>
      <c r="G6" s="12" t="s">
        <v>72</v>
      </c>
      <c r="H6" s="12" t="s">
        <v>183</v>
      </c>
    </row>
    <row r="7" spans="1:8" ht="105" x14ac:dyDescent="0.25">
      <c r="A7" s="7" t="s">
        <v>81</v>
      </c>
      <c r="B7" s="12" t="s">
        <v>154</v>
      </c>
      <c r="C7" s="12" t="s">
        <v>169</v>
      </c>
      <c r="D7" s="12" t="s">
        <v>170</v>
      </c>
      <c r="E7" s="12" t="s">
        <v>171</v>
      </c>
      <c r="F7" s="12" t="s">
        <v>172</v>
      </c>
      <c r="G7" s="12" t="s">
        <v>71</v>
      </c>
      <c r="H7" s="12" t="s">
        <v>184</v>
      </c>
    </row>
    <row r="8" spans="1:8" ht="135" x14ac:dyDescent="0.25">
      <c r="A8" s="7" t="s">
        <v>137</v>
      </c>
      <c r="B8" s="12" t="s">
        <v>155</v>
      </c>
      <c r="C8" s="12" t="s">
        <v>173</v>
      </c>
      <c r="D8" s="12" t="s">
        <v>174</v>
      </c>
      <c r="E8" s="12" t="s">
        <v>175</v>
      </c>
      <c r="F8" s="12" t="s">
        <v>176</v>
      </c>
      <c r="G8" s="12" t="s">
        <v>71</v>
      </c>
      <c r="H8" s="12" t="s">
        <v>185</v>
      </c>
    </row>
    <row r="9" spans="1:8" ht="75" x14ac:dyDescent="0.25">
      <c r="A9" s="7" t="s">
        <v>138</v>
      </c>
      <c r="B9" s="12" t="s">
        <v>156</v>
      </c>
      <c r="C9" s="12" t="s">
        <v>177</v>
      </c>
      <c r="D9" s="12" t="s">
        <v>178</v>
      </c>
      <c r="E9" s="12" t="s">
        <v>179</v>
      </c>
      <c r="F9" s="12" t="s">
        <v>180</v>
      </c>
      <c r="G9" s="12" t="s">
        <v>71</v>
      </c>
      <c r="H9" s="12" t="s">
        <v>186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Case 1</vt:lpstr>
      <vt:lpstr>Case 2</vt:lpstr>
      <vt:lpstr>Case 3</vt:lpstr>
      <vt:lpstr>Case 4</vt:lpstr>
      <vt:lpstr>Case 5</vt:lpstr>
      <vt:lpstr>Case 6</vt:lpstr>
      <vt:lpstr>Case 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Sathish Kumar R</dc:creator>
  <cp:lastModifiedBy>Sathish Kumar R</cp:lastModifiedBy>
  <dcterms:created xsi:type="dcterms:W3CDTF">2026-03-02T03:18:39Z</dcterms:created>
  <dcterms:modified xsi:type="dcterms:W3CDTF">2026-03-09T10:55:01Z</dcterms:modified>
</cp:coreProperties>
</file>