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cldigital1-my.sharepoint.com/personal/sathishkumarr_acldigital1_onmicrosoft_com/Documents/Study/_NISM Certifications/_PGPFP/Course/Term 2/Research Analyst/Numericals/quiz_app/"/>
    </mc:Choice>
  </mc:AlternateContent>
  <xr:revisionPtr revIDLastSave="390" documentId="8_{4E9D4734-D29F-4A0F-8F3B-46A2801D4098}" xr6:coauthVersionLast="47" xr6:coauthVersionMax="47" xr10:uidLastSave="{007231F7-F6E4-4ECC-A819-A384EB683039}"/>
  <bookViews>
    <workbookView xWindow="-120" yWindow="-120" windowWidth="20730" windowHeight="11040" activeTab="1" xr2:uid="{B3B2EAEB-3D4F-44E9-A7BC-7C78BD8AFC15}"/>
  </bookViews>
  <sheets>
    <sheet name="Case 1" sheetId="1" r:id="rId1"/>
    <sheet name="Case 2" sheetId="2" r:id="rId2"/>
    <sheet name="Case 3" sheetId="3" r:id="rId3"/>
    <sheet name="Case 4" sheetId="5" r:id="rId4"/>
    <sheet name="Case 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2" l="1"/>
</calcChain>
</file>

<file path=xl/sharedStrings.xml><?xml version="1.0" encoding="utf-8"?>
<sst xmlns="http://schemas.openxmlformats.org/spreadsheetml/2006/main" count="232" uniqueCount="185">
  <si>
    <t xml:space="preserve">Mega Industries Ltd. wants to grow its business by spending money on a new project which will require an investment of Rs 200 crores. This project can give a return of 16% on the investment on a pre-tax basis. This return is slightly lower than the return on equity which is currently generated by the company. The tax rate for the company is 25%. The company can spare Rs 50 crores for the project through its internal accruals. For the balance Rs 150 crores, the following fund options are available </t>
  </si>
  <si>
    <t xml:space="preserve">Option 2. To issue Preference shares with 11% dividend </t>
  </si>
  <si>
    <t>Option 3. Issue fresh equity for the entire funding</t>
  </si>
  <si>
    <t>Option 1. To raise by debt at 11% interest</t>
  </si>
  <si>
    <t>All the three options will have same effect</t>
  </si>
  <si>
    <t xml:space="preserve">Q-Among the three options, which is most likely to cause minimum dilution to the existing shareholders? </t>
  </si>
  <si>
    <t>Option 1</t>
  </si>
  <si>
    <t>Option 3</t>
  </si>
  <si>
    <t>Option 2</t>
  </si>
  <si>
    <t>Stock dilution, also known as equity dilution, is the decrease in existing shareholders' ownership percentage of a company as a result of the company issuing new equity. New equity increases the total shares outstanding which has a dilutive effect on the ownership percentage of existing shareholders.
As both option 2 and option 3 are related to issue of new equity, it can lead to dilution at a higher side.
Therefore, Option 1 in which debt will be raised, is likely to cause minimum dilution to the existing shareholders.</t>
  </si>
  <si>
    <t>Q - Calculate the expected post-tax rate of return on the investment.</t>
  </si>
  <si>
    <t>Explanation:</t>
  </si>
  <si>
    <t>Formula for Post tax returns = R − (R * TR %)</t>
  </si>
  <si>
    <t>Where, R = Rate of return on the investment and TR% = Tax bracket (in percentage) of investor.</t>
  </si>
  <si>
    <t>Therefore, in the above example the calculation will be as follows:</t>
  </si>
  <si>
    <t>Post tax returns = R - (R* TR %)</t>
  </si>
  <si>
    <t>= 16 (16* 25%)</t>
  </si>
  <si>
    <t>=16-4 12%</t>
  </si>
  <si>
    <t>Q - From the three options of fund raising, which will create the highest financial risk for Mega Industries Ltd.?</t>
  </si>
  <si>
    <t>The downside of debt financing is that lenders require the payment of interest, meaning the total amount repaid exceeds the initial sum. Also, payments on debt must be made regardless of business revenue.</t>
  </si>
  <si>
    <t>In equity financing, shareholders purchase stock with the understanding that they then own a small stake in the business. The amount is not needed to be returned. Therefore, in the above scenario, Option 1 creates highest financial risk for Mega Industries Ltd.</t>
  </si>
  <si>
    <t>Q - When comparing Option 1 and Option 2 for fund raising, which is more likely to result in lower EPS for Mega Industries Ltd.?</t>
  </si>
  <si>
    <t>When a company raises debt, the interest amount is allowed as an expense while calculating tax. But it is not in the case of preference shares. Let's calculate the profit in both the cases:</t>
  </si>
  <si>
    <t>Debt: EBIT = 200 crore * 16% return = 32 crore. Debt required is of 150 crore. 11% interest cost on 150 crores = 16.5 crore. Net return after interest cost = 32 crores -16.5 crores = 15.5 crores. 25% tax on 15.5 crore = 3.875 crore. Net return after tax = 15.5-3.875 = 11.625 crore</t>
  </si>
  <si>
    <t>Preference Shares: EBIT</t>
  </si>
  <si>
    <t>dividend = 150 crore x 11%</t>
  </si>
  <si>
    <t>200 crore 16% return = 32 crore. Tax is at 25% and it will be 32 x 25% = 8 crore. Net return after tax = 32-8= 24 crore. Preference 16.5 crore. Net return after Preference dividend = 24-16.5 7.5 crore.</t>
  </si>
  <si>
    <t>Thus the returns are lower in case of Preference shares option which will result in lower EPS.</t>
  </si>
  <si>
    <t>Everest Industries is a pharmaceutical company and its has now reached a matured growth stage and is expected to grow at 6% every year. As the growth needs are limited, its distributing 70% of its profits as dividend. This dividend is distributed as interim dividend immediately after the end of financial year.</t>
  </si>
  <si>
    <t>For the last financial year, the company had declared a dividend of Rs 13 which is payable immediately. The company's share price on the stock market is currently trading at Rs. 190.</t>
  </si>
  <si>
    <t>Q - A research analyst is of the belief that the just concluded financial year was a weak year for the company in terms of profits. He expects the company to earn a net profit of Rs 30 per share next year. He also estimates the cost of capital for the company at 12%. Which of the following is the closest to the analyst's estimate of fair value of the company's share using Dividend Discount Model?</t>
  </si>
  <si>
    <t>Rs 175.65</t>
  </si>
  <si>
    <t>In the Dividend discount model, the expected future dividends of a company are discounted based on the cost of capital. This model is suitable for companies that pay regular and substantial dividend. Thus, this model is more suitable to matured companies in the defensive industry.</t>
  </si>
  <si>
    <t>Gordon growth model provides a way to value a dividend paying company where the dividend is expected to grow perpetually at a constant rate.</t>
  </si>
  <si>
    <t>For a company with cost of equity k, and a dividend that is expected grow at a constant rate g, the fair value of the shares (P) of the company would be equal to P=D1/k-g</t>
  </si>
  <si>
    <t>Where D1 refers to dividend expected to be received at the end of the year.</t>
  </si>
  <si>
    <t>Therefore, in the above example the calculation can be done as follows:</t>
  </si>
  <si>
    <t>P = ? (Fair Value of Shares)</t>
  </si>
  <si>
    <t>It is mentioned that company distributes 70% profits as dividends. So, 70% of expected profit of Rs. 30 per share is Rs. 21.</t>
  </si>
  <si>
    <t>D1= 21 (Dividend expected to be received at the end of the year)</t>
  </si>
  <si>
    <t>k = 12% (Cost of capital)</t>
  </si>
  <si>
    <t>g=6% (Growth Rate)</t>
  </si>
  <si>
    <t>P=D1/k-g</t>
  </si>
  <si>
    <t>P = 21/(12% -6%)</t>
  </si>
  <si>
    <t>P= (21/6%) 21/06</t>
  </si>
  <si>
    <t>P= 350</t>
  </si>
  <si>
    <t>Q - Determine if the share is over valued or under valued based on its dividend yield if the fair dividend is 6%.</t>
  </si>
  <si>
    <t>Dividends are the profits that the company pays out to its equity holders. Dividends can be compared with the share price for a sense on cheapness or expensiveness of equities. Popularly known term on this subject is dividend yield, which is defined as:</t>
  </si>
  <si>
    <t>Dividend Yield = Dividend per share (DPS) / Current price of stock</t>
  </si>
  <si>
    <t>As per the formula Dividend Yield in the above example = 13/190 = 6.84%</t>
  </si>
  <si>
    <t>The Fair Dividend is mentioned as 6%</t>
  </si>
  <si>
    <t>If a company's dividend payment rate exceeds that of their competitors, it may indicate that the share price has dipped to "undervalued" status (in relation to its dividend payment).</t>
  </si>
  <si>
    <t>Therefore, here the stock is available at dividend yields higher than those of comparative stocks and the market dividend yield may be seen as a value pick.</t>
  </si>
  <si>
    <t>Q-A research analyst who covers the pharma sector believes that as per the Dividend Discount model, the share is fairly valued. What is the Cost of Capital as per the analyst's assessment?</t>
  </si>
  <si>
    <t>Where D1 refers to dividend expected to be received.</t>
  </si>
  <si>
    <t>P = 190 (Fair Value of Shares)</t>
  </si>
  <si>
    <t>D1= 13.78 (Dividend expected to be received next year: 6% growth of 13 = 13.78)</t>
  </si>
  <si>
    <t>k=? (Cost of capital or Cost of Equity)</t>
  </si>
  <si>
    <t>g=6% 0.06 (Growth Rate)</t>
  </si>
  <si>
    <t>190= 13.78/k-0.06</t>
  </si>
  <si>
    <t>K-0.06 (13.78/190)</t>
  </si>
  <si>
    <t>k = 0.072 +0.06</t>
  </si>
  <si>
    <t>k = 0.1325 x 100 = 13.25%</t>
  </si>
  <si>
    <t>Q - If the Cost of Capital for the company is 12% and assuming that the company will maintain its growth rate, calculate the fair dividend yield on the stock.</t>
  </si>
  <si>
    <t>For a company with cost of equity k, and a dividend that is expected grow at a constant rate g, the fair value of the shares (P) of the company would be equal to P = D1/k-g</t>
  </si>
  <si>
    <t>P=190 (Fair Value of Shares)</t>
  </si>
  <si>
    <t>D1=? (Dividend expected to be received at the end of the year)</t>
  </si>
  <si>
    <t>190 D1/ (12% -6%)</t>
  </si>
  <si>
    <t>190 D1/6%</t>
  </si>
  <si>
    <t>D1= 190 X 6% = 190 X .06</t>
  </si>
  <si>
    <t>D1 = 11.4</t>
  </si>
  <si>
    <t>0.06 x 100 = 6%</t>
  </si>
  <si>
    <t>Rs 350</t>
  </si>
  <si>
    <t>Rs 410</t>
  </si>
  <si>
    <t>Rs 287.50</t>
  </si>
  <si>
    <t xml:space="preserve">The share is over valued as the dividend yield is 6.84% </t>
  </si>
  <si>
    <t xml:space="preserve">The share is over valued as the dividend yield is 5.75% </t>
  </si>
  <si>
    <t xml:space="preserve">The share is under valued as the dividend yield is 6.84% </t>
  </si>
  <si>
    <t>The share is under valued as the dividend yield is 5.75%</t>
  </si>
  <si>
    <t>11.4/190 = 0.06</t>
  </si>
  <si>
    <t>Rs. 158.8 crores</t>
  </si>
  <si>
    <t>Rs. 162.5 crores</t>
  </si>
  <si>
    <t xml:space="preserve">Rs. 165.7 crores </t>
  </si>
  <si>
    <t>Rs. 167.3 crores</t>
  </si>
  <si>
    <t>Rs. 119 crores</t>
  </si>
  <si>
    <t xml:space="preserve">Rs. 124 crores </t>
  </si>
  <si>
    <t xml:space="preserve">Rs. 127 crores </t>
  </si>
  <si>
    <t>Rs. 131 crores</t>
  </si>
  <si>
    <t>Rs. 369.6 crores</t>
  </si>
  <si>
    <t xml:space="preserve">Rs. 376.42 crores </t>
  </si>
  <si>
    <t xml:space="preserve">Rs. 341.8 crores </t>
  </si>
  <si>
    <t>Rs. 358.66 crores</t>
  </si>
  <si>
    <t xml:space="preserve">Rohan allocates Rs. 60 lakhs to a portfolio for investment, giving his fund manager a 4-year period to enhance its value. Two years into this, his friend, Priya, remarks that her investments have been performing better than his. This prompts Rohan to assess his fund's performance by reviewing all the relevant annual statistics. His portfolio has delivered an annual return of 21%, with a standard deviation of 12% and a beta of 1.1. In comparison, Priya's portfolio has generated a 24% return with a 16% standard deviation and a beta of 1.4. During this identical timeframe, the market benchmark registered a 16% annual return with an 11% standard deviation and the risk-free rate of return stood at 6% per annum. </t>
  </si>
  <si>
    <t>Yes, by 3%</t>
  </si>
  <si>
    <t>Yes, by 4%</t>
  </si>
  <si>
    <t xml:space="preserve">Yes, by 2.7% </t>
  </si>
  <si>
    <t>No, -6.5%</t>
  </si>
  <si>
    <t>Yes, by 2.5%</t>
  </si>
  <si>
    <t>Yes, by 3.7%</t>
  </si>
  <si>
    <t>No, 0%</t>
  </si>
  <si>
    <t>Yes, by 0.125 points</t>
  </si>
  <si>
    <t>Yes, by 1.75 points</t>
  </si>
  <si>
    <t>Yes, 15.62</t>
  </si>
  <si>
    <t>Yes, 13.64</t>
  </si>
  <si>
    <t>Yes, 8.35</t>
  </si>
  <si>
    <t>Yes, 16.18</t>
  </si>
  <si>
    <t xml:space="preserve">Yes, by 0.388 points </t>
  </si>
  <si>
    <t>No, 1.75 points</t>
  </si>
  <si>
    <t>Rainbow Paints Ltd. is a paints manufacturer and is seeing slow movement in its sales for the last few months. In the team meeting, the Sales Manager asked for suggestions from the sales team and the following recommendations were received:</t>
  </si>
  <si>
    <t>1. Aditya - Reduce our prices so as to attract customers</t>
  </si>
  <si>
    <t>2. Sheetal - Instead of reducing prices, offer a free brush to the buyer i.e., the painters. The cost of the brush will be same as the discount mentioned by Aditya</t>
  </si>
  <si>
    <t>3. Thomas - Increase the credit period to retailers so that they get more time to sell our paints before paying us</t>
  </si>
  <si>
    <t>4. Asha - The amount we are planning to give as discounts or free brushes, instead use this amount to improve our marketing and branding budget</t>
  </si>
  <si>
    <t xml:space="preserve">Q - If we assume that all the four recommendations given above will have the same impact on sales, which can result in highest operating profit margin? </t>
  </si>
  <si>
    <t>Aditya's recommendation</t>
  </si>
  <si>
    <t>Sheetal's recommendation</t>
  </si>
  <si>
    <t xml:space="preserve">Thomas's recommendation </t>
  </si>
  <si>
    <t>Asha's recommendation</t>
  </si>
  <si>
    <t>Operating Profit Margin = Operating Proft / Sales</t>
  </si>
  <si>
    <t>If sales remain constant in all cases, Thomas's suggestion is going to have the highest Operating Profit margin as his suggestion of increasing credit period does not include anything which will reduce the operating profit.</t>
  </si>
  <si>
    <t>Sheetal's suggestion increases the cost of goods, Aditya's suggestion decreases the profit per unit and Asha's suggestion increases marketing and branding expense thus reducing the overall operating profit.</t>
  </si>
  <si>
    <t>Q - If Thomas's recommendation is accepted than which of these ratio will be most impacted?</t>
  </si>
  <si>
    <t>Inventory Turnover Ratio</t>
  </si>
  <si>
    <t>Solvency Ratio</t>
  </si>
  <si>
    <t>Gross Profit Margin Ratio</t>
  </si>
  <si>
    <t>Current Ratio</t>
  </si>
  <si>
    <t>Inventory Turnover Ratio = Cost of Goods Sold/Average Inventory</t>
  </si>
  <si>
    <t>Solvency Ratio = (Net Income + Non-cash expenses)/All liabilities</t>
  </si>
  <si>
    <t>Gross Profit Margin = Gross profit/Sales</t>
  </si>
  <si>
    <t>Current Ratio = Current Assets/Current Liabilities</t>
  </si>
  <si>
    <t>On implementing Thomas's recommendation, the retailers will get more time to pay their dues. This will increase the current receivables (debtors) and thus Current Assets would go up. This will increase the Current Ratio.</t>
  </si>
  <si>
    <t xml:space="preserve">Q - The recommendation by Aditya and Sheetal will result same profits. Which of the two will result in a higher Operating Profit margin? </t>
  </si>
  <si>
    <t xml:space="preserve">Aditya's recommendation </t>
  </si>
  <si>
    <t>Both the recommendations will give same operating profit margin as profit is same</t>
  </si>
  <si>
    <t>Operating Profit Margin (OPM) = (Operating Profit / Revenue) x 100</t>
  </si>
  <si>
    <t>Lets solve this using an hypothetical example:</t>
  </si>
  <si>
    <t>Normal Case: Revenue = 100, Cost = 80. So Operating Profit = 20</t>
  </si>
  <si>
    <t>Operating Profit Margin = Operating Profit / Revenue = 20/100 = 20%</t>
  </si>
  <si>
    <t>Aditya's Case (Price Discount of 10)</t>
  </si>
  <si>
    <t>Revenue = 100 - 10 = 90, Cost = 80 (same, no extra cost). So Operating Profit = 90 - 80 = 10 Operating Profit Margin = 10/90 = 11.11%</t>
  </si>
  <si>
    <t>Sheetal's Case (Free brush worth 10)</t>
  </si>
  <si>
    <t>Revenue = 100 (no reduction), Cost = 80 + 10 = 90. So Operating Profit = 100 - 90 = 10</t>
  </si>
  <si>
    <t>Operating Profit Margin = 10 ÷ 100 = 10%</t>
  </si>
  <si>
    <t>Both give same absolute profit (10), but OPM is higher in Aditya's case (11.11% vs 10%) because the denominator (Revenue) is lower in discounting.</t>
  </si>
  <si>
    <t>Q - What will be financial impact of Sheetal's and Asha'a recommendations?</t>
  </si>
  <si>
    <t xml:space="preserve">lf Sheetal's recommendation is accepted, it will lead to lower gross profit margin. However the operating profit margin should be same in both the cases </t>
  </si>
  <si>
    <t>If Sheetal's recommendation is accepted, it will lead to higher gross profit margin. However the operating profit margin should be same in both the</t>
  </si>
  <si>
    <t>cases</t>
  </si>
  <si>
    <t>Both Sheetal's and Asha's suggestions would result in same gross profit margin and net profit margin. This is because the budgeted expense for both</t>
  </si>
  <si>
    <t>are same</t>
  </si>
  <si>
    <t>Sheetal's suggestion would decrease Gross Profit margin as profit per product reduces is lesser in than that of Asha. This is because Sheetal is suggesting to increase cost of goods sold by adding a free brush. Thus this will lead to a lower gross profit margin for Sheetal's suggestion.</t>
  </si>
  <si>
    <t>Although, the operating profit in both would be same the total expenses in both cases add up to same. Just that as per Asha's suggestion, the expense will be allocated to marketing expense whereas in Sheetal's suggestion it will be allocated to Cost of Goods sold.</t>
  </si>
  <si>
    <t>Questiod_ID</t>
  </si>
  <si>
    <t>Question</t>
  </si>
  <si>
    <t>Option A</t>
  </si>
  <si>
    <t>Option B</t>
  </si>
  <si>
    <t>Option C</t>
  </si>
  <si>
    <t>Option D</t>
  </si>
  <si>
    <t>Answer</t>
  </si>
  <si>
    <t>B</t>
  </si>
  <si>
    <t>D</t>
  </si>
  <si>
    <t>A</t>
  </si>
  <si>
    <t>Explanation</t>
  </si>
  <si>
    <t>Q1</t>
  </si>
  <si>
    <t>Was Rohan's fund manager able to beat the market and what was the extent of that outperformance?</t>
  </si>
  <si>
    <t>Q2</t>
  </si>
  <si>
    <t>Did Rohan's portfolio perform better than Priya's portfolio when measured against market returns?</t>
  </si>
  <si>
    <t>Q3</t>
  </si>
  <si>
    <t>When evaluating fund performance based on total risk, did Rohan's fund outperform his friend Priya's? If so, what was the margin of outperformance?</t>
  </si>
  <si>
    <t>Q4</t>
  </si>
  <si>
    <t>Considering the systematic risk of each fund, did Rohan's portfolio outperform his friend Priya's? What is the performance score for Rohan's fund?</t>
  </si>
  <si>
    <t>The following are given:
- Rohan's portfolio return (Rp) = 21%
- Beta of Rohan's portfolio (ẞp) = 1.1
- Market (benchmark) return (Rm) = 16%
- Risk-free rate (Rf) = 6%
Step 1: Calculate the required return as per CAPM (Capital Asset Pricing Model) Expected return = Rf + ẞ(Rm - Rf)
i.e. Expected Return = Risk Free Rate + Beta * (Market Return - Risk Free Rate)
= 6% +1.1 * (16%-6%)
= 6% +1.1 x 10%
Expected return = 6% +11% = 17%
Step 2: Jensen's Alpha (This is the measure of beating the market)
Alpha = Actual Portfolio Return - Expected Portfolio Return
= 21% -17% = 4%
Yes, Rohan's portfolio manager beat the market.
Outperformance (Jensen's Alpha) = + 4% per annum</t>
  </si>
  <si>
    <t>We have already calculated the Outperformance (Jensen's Alpha) of Rohan's portfolio as +4% in the previous question.
Now we will calculate Jensen's Alpha for Priya's portfolio.
Given data for Priya's portfolio:
- Actual Return: 24%
- Risk Free Rate: 6%
- Market Return: 16%
- Beta: 1.4
Let's Calculate Priya's Expected Return:
Expected Return = Risk-Free Rate + Beta * (Market Return - Risk-Free Rate)
=6% +1.4* (16% -6%)
=6% +1.4* 10%
= 6% +14%
Expected Return = 20%
Let's calculate Priya's Jensen's Alpha:
Alpha = Actual Portfolio Return - Expected Portfolio Return
Alpha = 24% -20%
Alpha=4%
We can see that both portfolios generated the same risk-adjusted outperformance of +4% over the market.
Therefore, Rohan's Portfolio did not fare better than her friend Priya's.</t>
  </si>
  <si>
    <t>When comparing funds based on total risk, a common metric is the Sharpe Ratio. It tells us the return earned in excess of the risk-free rate per unit of total risk.
Formula for Sharpe Ratio = (Portfolio return - Risk-free rate) / Portfolio standard deviation.
Step 1 - Lets calculate Sharpe Ratio for Rohan's portfolio.
Given that:
Return = 21%
Risk-free = 6%
Std. Dev. = 12%
Sharpe Ratio for Rohan's portfolio = (21 - 6) / 12
= 15/12 = 1.25
Step 2 - Now lets calculate Sharpe Ratio for Priya's portfolio.
Given that:
Return = 24%
Risk-free = 6%
Std. Dev. 16%
Sharpe Ratio for Priya's portfolio = (24-6)/16
= 18/16 1.125
Comparison:
Rohan's Sharpe Ratio: 1.25
Priya's Sharpe Ratio: 1.125
1.25 -1.125 = 0.125
Thus, Rohan's fund outperformed Priya's fund on a total risk basis. The margin of outperformance was 0.125 on the Sharpe ratio scale.</t>
  </si>
  <si>
    <t>When we account for systematic risk, the right measure is the Treynor Ratio as it uses beta, not total volatility.
The Treynor Ratio measures the excess return (above the risk-free rate) earned per unit of systematic risk (beta). A higher Treynor Ratio indicates better performance. Treynor Ratio formula = (Portfolio's return - Risk-free rate of return) / Beta
Given: Risk-free rate = 6%
Step 1: Calculate Rohan's Treynor Ratio
return = 21%
Beta = 1.1
Treynor Ratio = (Portfolio's return - Risk-free rate of return) / Beta
= (21% -6%) / 1.1
= 15% / 1.1 13.64%
Step 2: Calculate Priya's Treynor Ratio
return = 24%
Beta = 1.4
Treynor Ratio = (Portfolio's return - Risk-free rate of return) / Beta
= (24% -6%) / 1.4
= 18% / 1.4 = 12.86%
Step 3 - Comparison
• Rohan's Treynor score = 13.64%
• Priya's Treynor score = 12.86%
Therefore, Rohan's fund performed better than Priya's fund after accounting for systematic risk and Rohan's fund score was 13.64%</t>
  </si>
  <si>
    <t>C</t>
  </si>
  <si>
    <t>Calculate the EBITDA margin ratio for the year 2024?</t>
  </si>
  <si>
    <t xml:space="preserve">If the analyst predicts 2025 sales of Rs 380 crores and a 100 bps improvement in the EBIT margin rate, what is the anticipated EBIT for 2025? </t>
  </si>
  <si>
    <t>The analysts has updated the 2025 EBIT forecast to Rs145 crores. If the company's total debt is Rs. 300 crores with an 8% weighted average interest, what is the nearest figure to the expected profit before tax for 2025?</t>
  </si>
  <si>
    <t>Assuming an 12% sales growth, what will the sales be in 2025?</t>
  </si>
  <si>
    <t>Given:
Sales in 2024 Rs. 330 crores
Expected growth rate = 12% = 0.12
Therefore Expected Sales = 330 x 12% or 330 × (1+0.12)
= 330 X 1.12
= Rs. 369.6 crores</t>
  </si>
  <si>
    <t>Step 1: Interest expense
Interest Expense = Total Debt * Interest Rate
= 300 x 0.08 = 24 crores
Step 2: Calculate Profit Before Tax (PBT)
EBIT (2025 forcast) = Rs 148 crores
Interest = Rs 24 crores
PBT = EBIT - Interest
PBT=148-24
= Rs. 124 crores</t>
  </si>
  <si>
    <t>Given:
EBIT = Rs 142 cr
Sales 2024 = Rs 330 cr
Expected sales of 2025 = Rs 380 cr
Step 1: First let's Calculate 2024 EBIT margin
EBIT Margin 2024 = EBIT / Sales = 142/330
= 0.4303 43.03%
Step 2: Now let's adjust for improvement of 100 bps
100 bps = 1%
Forecasted EBIT Margin 2025 = 43.03% +1% = 44.03%
Step 3: Now let's calculate expected EBIT for 2025
EBIT 2025 = Sales 2025 × EBIT Margin 2025
= Rs. 167.3 crores</t>
  </si>
  <si>
    <t>Given:
Sales = Rs. 330 crores
Operating expenses (excluding depreciation) = Rs. 140 crores
Depreciation = Rs. 48 crores
EBIT = Rs. 142 crores
Formulas :
EBITDA = EBIT + Depreciation
EBITDA Margin = (EBITDA / Sales) x 100
Step 1: Calculate EBITDA
EBITDA = EBIT + Depreciation = 142 + 48 = 190
Step 2: Calculate EBITDA Margin
EBITDA Margin = (EBITDA / Sales) × 100
= 190/330 x 100 = 57.58%</t>
  </si>
  <si>
    <t>The shortened version of the Profit and Loss account of Penguin Aircon Industries for the year 2024 is as follows - Sales: Rs 330 crores; Operating Expenses (excluding depreciation) : Rs 140 crores; Depreciation : Rs. 48 crores; Thus the Operating profit (EBIT) : Rs 142 crores. (330 cr less 140 cr less 48 cr)
The interest expenses are Rs 25 crores
Therefore Profit after reducing interest and before tax comes to : Rs 117 cr (142 cr – 25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</si>
</sst>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8" fontId="0" fillId="0" borderId="0" xfId="0" applyNumberFormat="1"/>
    <xf numFmtId="0" fontId="0" fillId="0" borderId="0" xfId="0" applyAlignment="1">
      <alignment wrapText="1"/>
    </xf>
    <xf numFmtId="0" fontId="0" fillId="2" borderId="0" xfId="0" applyFill="1"/>
    <xf numFmtId="10" fontId="0" fillId="0" borderId="0" xfId="0" applyNumberFormat="1"/>
    <xf numFmtId="9" fontId="0" fillId="0" borderId="0" xfId="0" applyNumberFormat="1"/>
    <xf numFmtId="9" fontId="0" fillId="2" borderId="0" xfId="0" applyNumberFormat="1" applyFill="1"/>
    <xf numFmtId="0" fontId="0" fillId="3" borderId="0" xfId="0" applyFill="1"/>
    <xf numFmtId="10" fontId="0" fillId="2" borderId="0" xfId="0" applyNumberFormat="1" applyFill="1"/>
    <xf numFmtId="0" fontId="0" fillId="0" borderId="1" xfId="0" applyBorder="1"/>
    <xf numFmtId="0" fontId="0" fillId="0" borderId="1" xfId="0" applyBorder="1" applyAlignment="1">
      <alignment horizontal="left" vertical="top"/>
    </xf>
    <xf numFmtId="0" fontId="0" fillId="2" borderId="1" xfId="0" applyFill="1" applyBorder="1" applyAlignment="1">
      <alignment horizontal="left" vertical="top"/>
    </xf>
    <xf numFmtId="0" fontId="0" fillId="0" borderId="1" xfId="0" applyBorder="1" applyAlignment="1">
      <alignment wrapText="1"/>
    </xf>
    <xf numFmtId="10" fontId="0" fillId="0" borderId="1" xfId="0" applyNumberFormat="1" applyBorder="1" applyAlignment="1">
      <alignment horizontal="left" vertical="top"/>
    </xf>
    <xf numFmtId="10" fontId="0" fillId="2" borderId="1" xfId="0" applyNumberFormat="1" applyFill="1" applyBorder="1" applyAlignment="1">
      <alignment horizontal="left"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96250-E0EC-41F6-BE6F-BD0A07A909DD}">
  <dimension ref="A1:H7"/>
  <sheetViews>
    <sheetView workbookViewId="0">
      <selection activeCell="A4" sqref="A4"/>
    </sheetView>
  </sheetViews>
  <sheetFormatPr defaultRowHeight="15" x14ac:dyDescent="0.25"/>
  <cols>
    <col min="1" max="1" width="11.7109375" bestFit="1" customWidth="1"/>
    <col min="2" max="2" width="155.5703125" bestFit="1" customWidth="1"/>
    <col min="3" max="3" width="18.28515625" bestFit="1" customWidth="1"/>
    <col min="4" max="4" width="17.28515625" bestFit="1" customWidth="1"/>
    <col min="5" max="5" width="18.7109375" bestFit="1" customWidth="1"/>
    <col min="6" max="6" width="14.28515625" bestFit="1" customWidth="1"/>
    <col min="7" max="7" width="7.42578125" bestFit="1" customWidth="1"/>
    <col min="8" max="8" width="132.140625" bestFit="1" customWidth="1"/>
  </cols>
  <sheetData>
    <row r="1" spans="1:8" ht="75" x14ac:dyDescent="0.25">
      <c r="B1" s="2" t="s">
        <v>92</v>
      </c>
    </row>
    <row r="2" spans="1:8" x14ac:dyDescent="0.25">
      <c r="B2" s="2"/>
    </row>
    <row r="3" spans="1:8" x14ac:dyDescent="0.25">
      <c r="A3" s="9" t="s">
        <v>152</v>
      </c>
      <c r="B3" s="9" t="s">
        <v>153</v>
      </c>
      <c r="C3" s="9" t="s">
        <v>154</v>
      </c>
      <c r="D3" s="9" t="s">
        <v>155</v>
      </c>
      <c r="E3" s="9" t="s">
        <v>156</v>
      </c>
      <c r="F3" s="9" t="s">
        <v>157</v>
      </c>
      <c r="G3" s="9" t="s">
        <v>158</v>
      </c>
      <c r="H3" s="9" t="s">
        <v>162</v>
      </c>
    </row>
    <row r="4" spans="1:8" ht="270" x14ac:dyDescent="0.25">
      <c r="A4" s="10" t="s">
        <v>163</v>
      </c>
      <c r="B4" s="10" t="s">
        <v>164</v>
      </c>
      <c r="C4" s="10" t="s">
        <v>93</v>
      </c>
      <c r="D4" s="11" t="s">
        <v>94</v>
      </c>
      <c r="E4" s="10" t="s">
        <v>95</v>
      </c>
      <c r="F4" s="10" t="s">
        <v>96</v>
      </c>
      <c r="G4" s="10" t="s">
        <v>159</v>
      </c>
      <c r="H4" s="12" t="s">
        <v>171</v>
      </c>
    </row>
    <row r="5" spans="1:8" ht="330" x14ac:dyDescent="0.25">
      <c r="A5" s="10" t="s">
        <v>165</v>
      </c>
      <c r="B5" s="10" t="s">
        <v>166</v>
      </c>
      <c r="C5" s="10" t="s">
        <v>97</v>
      </c>
      <c r="D5" s="10" t="s">
        <v>98</v>
      </c>
      <c r="E5" s="10" t="s">
        <v>93</v>
      </c>
      <c r="F5" s="11" t="s">
        <v>99</v>
      </c>
      <c r="G5" s="10" t="s">
        <v>160</v>
      </c>
      <c r="H5" s="12" t="s">
        <v>172</v>
      </c>
    </row>
    <row r="6" spans="1:8" ht="375" x14ac:dyDescent="0.25">
      <c r="A6" s="10" t="s">
        <v>167</v>
      </c>
      <c r="B6" s="10" t="s">
        <v>168</v>
      </c>
      <c r="C6" s="11" t="s">
        <v>100</v>
      </c>
      <c r="D6" s="10" t="s">
        <v>101</v>
      </c>
      <c r="E6" s="10" t="s">
        <v>106</v>
      </c>
      <c r="F6" s="10" t="s">
        <v>107</v>
      </c>
      <c r="G6" s="10" t="s">
        <v>161</v>
      </c>
      <c r="H6" s="12" t="s">
        <v>173</v>
      </c>
    </row>
    <row r="7" spans="1:8" ht="345" x14ac:dyDescent="0.25">
      <c r="A7" s="10" t="s">
        <v>169</v>
      </c>
      <c r="B7" s="10" t="s">
        <v>170</v>
      </c>
      <c r="C7" s="10" t="s">
        <v>102</v>
      </c>
      <c r="D7" s="11" t="s">
        <v>103</v>
      </c>
      <c r="E7" s="10" t="s">
        <v>104</v>
      </c>
      <c r="F7" s="10" t="s">
        <v>105</v>
      </c>
      <c r="G7" s="10" t="s">
        <v>159</v>
      </c>
      <c r="H7" s="12"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DD49-34CC-4B42-AED5-3DAD0ACA7221}">
  <dimension ref="A1:M33"/>
  <sheetViews>
    <sheetView tabSelected="1" topLeftCell="C1" workbookViewId="0">
      <selection activeCell="F4" sqref="F4"/>
    </sheetView>
  </sheetViews>
  <sheetFormatPr defaultRowHeight="15" x14ac:dyDescent="0.25"/>
  <cols>
    <col min="1" max="1" width="11.7109375" bestFit="1" customWidth="1"/>
    <col min="2" max="2" width="126" customWidth="1"/>
    <col min="3" max="3" width="14.85546875" bestFit="1" customWidth="1"/>
    <col min="4" max="4" width="16.28515625" bestFit="1" customWidth="1"/>
    <col min="5" max="5" width="15.28515625" bestFit="1" customWidth="1"/>
    <col min="6" max="6" width="15.85546875" bestFit="1" customWidth="1"/>
    <col min="7" max="7" width="7.42578125" bestFit="1" customWidth="1"/>
    <col min="8" max="8" width="105.7109375" customWidth="1"/>
  </cols>
  <sheetData>
    <row r="1" spans="1:8" ht="90" x14ac:dyDescent="0.25">
      <c r="B1" s="2" t="s">
        <v>184</v>
      </c>
    </row>
    <row r="3" spans="1:8" x14ac:dyDescent="0.25">
      <c r="A3" s="10" t="s">
        <v>152</v>
      </c>
      <c r="B3" s="10" t="s">
        <v>153</v>
      </c>
      <c r="C3" s="10" t="s">
        <v>154</v>
      </c>
      <c r="D3" s="10" t="s">
        <v>155</v>
      </c>
      <c r="E3" s="10" t="s">
        <v>156</v>
      </c>
      <c r="F3" s="10" t="s">
        <v>157</v>
      </c>
      <c r="G3" s="10" t="s">
        <v>158</v>
      </c>
      <c r="H3" s="9" t="s">
        <v>162</v>
      </c>
    </row>
    <row r="4" spans="1:8" ht="225" x14ac:dyDescent="0.25">
      <c r="A4" s="10" t="s">
        <v>163</v>
      </c>
      <c r="B4" s="10" t="s">
        <v>176</v>
      </c>
      <c r="C4" s="13">
        <v>0.43690000000000001</v>
      </c>
      <c r="D4" s="13">
        <v>0.63770000000000004</v>
      </c>
      <c r="E4" s="14">
        <v>0.57579999999999998</v>
      </c>
      <c r="F4" s="13">
        <v>0.49249999999999999</v>
      </c>
      <c r="G4" s="10" t="s">
        <v>175</v>
      </c>
      <c r="H4" s="12" t="s">
        <v>183</v>
      </c>
    </row>
    <row r="5" spans="1:8" ht="240" x14ac:dyDescent="0.25">
      <c r="A5" s="10" t="s">
        <v>165</v>
      </c>
      <c r="B5" s="10" t="s">
        <v>177</v>
      </c>
      <c r="C5" s="10" t="s">
        <v>80</v>
      </c>
      <c r="D5" s="10" t="s">
        <v>81</v>
      </c>
      <c r="E5" s="10" t="s">
        <v>82</v>
      </c>
      <c r="F5" s="11" t="s">
        <v>83</v>
      </c>
      <c r="G5" s="10" t="s">
        <v>160</v>
      </c>
      <c r="H5" s="12" t="s">
        <v>182</v>
      </c>
    </row>
    <row r="6" spans="1:8" ht="150" x14ac:dyDescent="0.25">
      <c r="A6" s="10" t="s">
        <v>167</v>
      </c>
      <c r="B6" s="15" t="s">
        <v>178</v>
      </c>
      <c r="C6" s="10" t="s">
        <v>84</v>
      </c>
      <c r="D6" s="11" t="s">
        <v>85</v>
      </c>
      <c r="E6" s="10" t="s">
        <v>86</v>
      </c>
      <c r="F6" s="10" t="s">
        <v>87</v>
      </c>
      <c r="G6" s="10" t="s">
        <v>159</v>
      </c>
      <c r="H6" s="12" t="s">
        <v>181</v>
      </c>
    </row>
    <row r="7" spans="1:8" ht="90" x14ac:dyDescent="0.25">
      <c r="A7" s="10" t="s">
        <v>169</v>
      </c>
      <c r="B7" s="10" t="s">
        <v>179</v>
      </c>
      <c r="C7" s="11" t="s">
        <v>88</v>
      </c>
      <c r="D7" s="10" t="s">
        <v>89</v>
      </c>
      <c r="E7" s="10" t="s">
        <v>90</v>
      </c>
      <c r="F7" s="10" t="s">
        <v>91</v>
      </c>
      <c r="G7" s="10" t="s">
        <v>161</v>
      </c>
      <c r="H7" s="12" t="s">
        <v>180</v>
      </c>
    </row>
    <row r="33" spans="13:13" x14ac:dyDescent="0.25">
      <c r="M33" s="1">
        <f>FV(12%,1,0,-330)</f>
        <v>369.6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9E16-9F58-446C-8FE7-F7028D7547DC}">
  <dimension ref="A1:A83"/>
  <sheetViews>
    <sheetView workbookViewId="0">
      <selection activeCell="A4" sqref="A4"/>
    </sheetView>
  </sheetViews>
  <sheetFormatPr defaultRowHeight="15" x14ac:dyDescent="0.25"/>
  <cols>
    <col min="1" max="1" width="128.28515625" customWidth="1"/>
  </cols>
  <sheetData>
    <row r="1" spans="1:1" ht="45" x14ac:dyDescent="0.25">
      <c r="A1" s="2" t="s">
        <v>28</v>
      </c>
    </row>
    <row r="2" spans="1:1" ht="30" x14ac:dyDescent="0.25">
      <c r="A2" s="2" t="s">
        <v>29</v>
      </c>
    </row>
    <row r="4" spans="1:1" ht="45" x14ac:dyDescent="0.25">
      <c r="A4" s="2" t="s">
        <v>30</v>
      </c>
    </row>
    <row r="5" spans="1:1" x14ac:dyDescent="0.25">
      <c r="A5" t="s">
        <v>31</v>
      </c>
    </row>
    <row r="6" spans="1:1" x14ac:dyDescent="0.25">
      <c r="A6" s="3" t="s">
        <v>72</v>
      </c>
    </row>
    <row r="7" spans="1:1" x14ac:dyDescent="0.25">
      <c r="A7" t="s">
        <v>74</v>
      </c>
    </row>
    <row r="8" spans="1:1" x14ac:dyDescent="0.25">
      <c r="A8" t="s">
        <v>73</v>
      </c>
    </row>
    <row r="10" spans="1:1" x14ac:dyDescent="0.25">
      <c r="A10" t="s">
        <v>11</v>
      </c>
    </row>
    <row r="11" spans="1:1" ht="45" x14ac:dyDescent="0.25">
      <c r="A11" s="2" t="s">
        <v>32</v>
      </c>
    </row>
    <row r="12" spans="1:1" ht="30" x14ac:dyDescent="0.25">
      <c r="A12" s="2" t="s">
        <v>33</v>
      </c>
    </row>
    <row r="13" spans="1:1" ht="30" x14ac:dyDescent="0.25">
      <c r="A13" s="2" t="s">
        <v>34</v>
      </c>
    </row>
    <row r="14" spans="1:1" x14ac:dyDescent="0.25">
      <c r="A14" s="2" t="s">
        <v>35</v>
      </c>
    </row>
    <row r="15" spans="1:1" x14ac:dyDescent="0.25">
      <c r="A15" t="s">
        <v>36</v>
      </c>
    </row>
    <row r="16" spans="1:1" x14ac:dyDescent="0.25">
      <c r="A16" t="s">
        <v>37</v>
      </c>
    </row>
    <row r="17" spans="1:1" x14ac:dyDescent="0.25">
      <c r="A17" t="s">
        <v>38</v>
      </c>
    </row>
    <row r="18" spans="1:1" x14ac:dyDescent="0.25">
      <c r="A18" t="s">
        <v>39</v>
      </c>
    </row>
    <row r="19" spans="1:1" x14ac:dyDescent="0.25">
      <c r="A19" t="s">
        <v>40</v>
      </c>
    </row>
    <row r="20" spans="1:1" x14ac:dyDescent="0.25">
      <c r="A20" t="s">
        <v>41</v>
      </c>
    </row>
    <row r="21" spans="1:1" x14ac:dyDescent="0.25">
      <c r="A21" t="s">
        <v>42</v>
      </c>
    </row>
    <row r="22" spans="1:1" x14ac:dyDescent="0.25">
      <c r="A22" t="s">
        <v>43</v>
      </c>
    </row>
    <row r="23" spans="1:1" x14ac:dyDescent="0.25">
      <c r="A23" t="s">
        <v>44</v>
      </c>
    </row>
    <row r="24" spans="1:1" x14ac:dyDescent="0.25">
      <c r="A24" t="s">
        <v>45</v>
      </c>
    </row>
    <row r="26" spans="1:1" x14ac:dyDescent="0.25">
      <c r="A26" t="s">
        <v>46</v>
      </c>
    </row>
    <row r="27" spans="1:1" x14ac:dyDescent="0.25">
      <c r="A27" t="s">
        <v>75</v>
      </c>
    </row>
    <row r="28" spans="1:1" x14ac:dyDescent="0.25">
      <c r="A28" t="s">
        <v>76</v>
      </c>
    </row>
    <row r="29" spans="1:1" x14ac:dyDescent="0.25">
      <c r="A29" t="s">
        <v>77</v>
      </c>
    </row>
    <row r="30" spans="1:1" x14ac:dyDescent="0.25">
      <c r="A30" t="s">
        <v>78</v>
      </c>
    </row>
    <row r="32" spans="1:1" x14ac:dyDescent="0.25">
      <c r="A32" t="s">
        <v>11</v>
      </c>
    </row>
    <row r="33" spans="1:1" ht="30" x14ac:dyDescent="0.25">
      <c r="A33" s="2" t="s">
        <v>47</v>
      </c>
    </row>
    <row r="34" spans="1:1" x14ac:dyDescent="0.25">
      <c r="A34" t="s">
        <v>48</v>
      </c>
    </row>
    <row r="35" spans="1:1" x14ac:dyDescent="0.25">
      <c r="A35" t="s">
        <v>49</v>
      </c>
    </row>
    <row r="36" spans="1:1" x14ac:dyDescent="0.25">
      <c r="A36" t="s">
        <v>50</v>
      </c>
    </row>
    <row r="37" spans="1:1" ht="30" x14ac:dyDescent="0.25">
      <c r="A37" s="2" t="s">
        <v>51</v>
      </c>
    </row>
    <row r="38" spans="1:1" ht="30" x14ac:dyDescent="0.25">
      <c r="A38" s="2" t="s">
        <v>52</v>
      </c>
    </row>
    <row r="40" spans="1:1" ht="30" x14ac:dyDescent="0.25">
      <c r="A40" s="2" t="s">
        <v>53</v>
      </c>
    </row>
    <row r="41" spans="1:1" x14ac:dyDescent="0.25">
      <c r="A41" s="4">
        <v>0.1168</v>
      </c>
    </row>
    <row r="42" spans="1:1" x14ac:dyDescent="0.25">
      <c r="A42" s="8">
        <v>0.13250000000000001</v>
      </c>
    </row>
    <row r="43" spans="1:1" x14ac:dyDescent="0.25">
      <c r="A43" s="4">
        <v>9.8500000000000004E-2</v>
      </c>
    </row>
    <row r="44" spans="1:1" x14ac:dyDescent="0.25">
      <c r="A44" s="4">
        <v>0.128</v>
      </c>
    </row>
    <row r="46" spans="1:1" x14ac:dyDescent="0.25">
      <c r="A46" t="s">
        <v>11</v>
      </c>
    </row>
    <row r="47" spans="1:1" ht="45" x14ac:dyDescent="0.25">
      <c r="A47" s="2" t="s">
        <v>32</v>
      </c>
    </row>
    <row r="48" spans="1:1" ht="30" x14ac:dyDescent="0.25">
      <c r="A48" s="2" t="s">
        <v>33</v>
      </c>
    </row>
    <row r="49" spans="1:1" ht="30" x14ac:dyDescent="0.25">
      <c r="A49" s="2" t="s">
        <v>34</v>
      </c>
    </row>
    <row r="50" spans="1:1" x14ac:dyDescent="0.25">
      <c r="A50" t="s">
        <v>54</v>
      </c>
    </row>
    <row r="51" spans="1:1" x14ac:dyDescent="0.25">
      <c r="A51" t="s">
        <v>36</v>
      </c>
    </row>
    <row r="52" spans="1:1" x14ac:dyDescent="0.25">
      <c r="A52" t="s">
        <v>55</v>
      </c>
    </row>
    <row r="53" spans="1:1" x14ac:dyDescent="0.25">
      <c r="A53" t="s">
        <v>56</v>
      </c>
    </row>
    <row r="54" spans="1:1" x14ac:dyDescent="0.25">
      <c r="A54" t="s">
        <v>57</v>
      </c>
    </row>
    <row r="55" spans="1:1" x14ac:dyDescent="0.25">
      <c r="A55" t="s">
        <v>58</v>
      </c>
    </row>
    <row r="56" spans="1:1" x14ac:dyDescent="0.25">
      <c r="A56" t="s">
        <v>42</v>
      </c>
    </row>
    <row r="57" spans="1:1" x14ac:dyDescent="0.25">
      <c r="A57" t="s">
        <v>59</v>
      </c>
    </row>
    <row r="58" spans="1:1" x14ac:dyDescent="0.25">
      <c r="A58" t="s">
        <v>60</v>
      </c>
    </row>
    <row r="59" spans="1:1" x14ac:dyDescent="0.25">
      <c r="A59" t="s">
        <v>61</v>
      </c>
    </row>
    <row r="60" spans="1:1" x14ac:dyDescent="0.25">
      <c r="A60" t="s">
        <v>62</v>
      </c>
    </row>
    <row r="62" spans="1:1" ht="30" x14ac:dyDescent="0.25">
      <c r="A62" s="2" t="s">
        <v>63</v>
      </c>
    </row>
    <row r="63" spans="1:1" x14ac:dyDescent="0.25">
      <c r="A63" s="5">
        <v>0.09</v>
      </c>
    </row>
    <row r="64" spans="1:1" x14ac:dyDescent="0.25">
      <c r="A64" s="4">
        <v>4.8000000000000001E-2</v>
      </c>
    </row>
    <row r="65" spans="1:1" x14ac:dyDescent="0.25">
      <c r="A65" s="6">
        <v>0.06</v>
      </c>
    </row>
    <row r="66" spans="1:1" x14ac:dyDescent="0.25">
      <c r="A66" s="4">
        <v>8.2000000000000003E-2</v>
      </c>
    </row>
    <row r="67" spans="1:1" x14ac:dyDescent="0.25">
      <c r="A67" s="4"/>
    </row>
    <row r="68" spans="1:1" x14ac:dyDescent="0.25">
      <c r="A68" t="s">
        <v>11</v>
      </c>
    </row>
    <row r="69" spans="1:1" ht="30" x14ac:dyDescent="0.25">
      <c r="A69" s="2" t="s">
        <v>64</v>
      </c>
    </row>
    <row r="70" spans="1:1" x14ac:dyDescent="0.25">
      <c r="A70" t="s">
        <v>35</v>
      </c>
    </row>
    <row r="71" spans="1:1" x14ac:dyDescent="0.25">
      <c r="A71" t="s">
        <v>36</v>
      </c>
    </row>
    <row r="72" spans="1:1" x14ac:dyDescent="0.25">
      <c r="A72" t="s">
        <v>65</v>
      </c>
    </row>
    <row r="73" spans="1:1" x14ac:dyDescent="0.25">
      <c r="A73" t="s">
        <v>66</v>
      </c>
    </row>
    <row r="74" spans="1:1" x14ac:dyDescent="0.25">
      <c r="A74" t="s">
        <v>40</v>
      </c>
    </row>
    <row r="75" spans="1:1" x14ac:dyDescent="0.25">
      <c r="A75" t="s">
        <v>41</v>
      </c>
    </row>
    <row r="76" spans="1:1" x14ac:dyDescent="0.25">
      <c r="A76" t="s">
        <v>42</v>
      </c>
    </row>
    <row r="77" spans="1:1" x14ac:dyDescent="0.25">
      <c r="A77" t="s">
        <v>67</v>
      </c>
    </row>
    <row r="78" spans="1:1" x14ac:dyDescent="0.25">
      <c r="A78" t="s">
        <v>68</v>
      </c>
    </row>
    <row r="79" spans="1:1" x14ac:dyDescent="0.25">
      <c r="A79" t="s">
        <v>69</v>
      </c>
    </row>
    <row r="80" spans="1:1" x14ac:dyDescent="0.25">
      <c r="A80" t="s">
        <v>70</v>
      </c>
    </row>
    <row r="81" spans="1:1" x14ac:dyDescent="0.25">
      <c r="A81" t="s">
        <v>48</v>
      </c>
    </row>
    <row r="82" spans="1:1" x14ac:dyDescent="0.25">
      <c r="A82" t="s">
        <v>79</v>
      </c>
    </row>
    <row r="83" spans="1:1" x14ac:dyDescent="0.25">
      <c r="A83"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DB2F-626E-4298-9A86-1618491D5242}">
  <dimension ref="A1:A51"/>
  <sheetViews>
    <sheetView topLeftCell="A31" workbookViewId="0">
      <selection activeCell="A49" sqref="A49"/>
    </sheetView>
  </sheetViews>
  <sheetFormatPr defaultRowHeight="15" x14ac:dyDescent="0.25"/>
  <cols>
    <col min="1" max="1" width="145.140625" customWidth="1"/>
  </cols>
  <sheetData>
    <row r="1" spans="1:1" ht="60" x14ac:dyDescent="0.25">
      <c r="A1" s="2" t="s">
        <v>0</v>
      </c>
    </row>
    <row r="2" spans="1:1" x14ac:dyDescent="0.25">
      <c r="A2" t="s">
        <v>3</v>
      </c>
    </row>
    <row r="3" spans="1:1" x14ac:dyDescent="0.25">
      <c r="A3" t="s">
        <v>1</v>
      </c>
    </row>
    <row r="4" spans="1:1" x14ac:dyDescent="0.25">
      <c r="A4" t="s">
        <v>2</v>
      </c>
    </row>
    <row r="6" spans="1:1" x14ac:dyDescent="0.25">
      <c r="A6" s="2" t="s">
        <v>5</v>
      </c>
    </row>
    <row r="7" spans="1:1" x14ac:dyDescent="0.25">
      <c r="A7" s="3" t="s">
        <v>6</v>
      </c>
    </row>
    <row r="8" spans="1:1" x14ac:dyDescent="0.25">
      <c r="A8" t="s">
        <v>8</v>
      </c>
    </row>
    <row r="9" spans="1:1" x14ac:dyDescent="0.25">
      <c r="A9" t="s">
        <v>7</v>
      </c>
    </row>
    <row r="10" spans="1:1" x14ac:dyDescent="0.25">
      <c r="A10" t="s">
        <v>4</v>
      </c>
    </row>
    <row r="12" spans="1:1" x14ac:dyDescent="0.25">
      <c r="A12" t="s">
        <v>11</v>
      </c>
    </row>
    <row r="13" spans="1:1" ht="60" x14ac:dyDescent="0.25">
      <c r="A13" s="2" t="s">
        <v>9</v>
      </c>
    </row>
    <row r="15" spans="1:1" x14ac:dyDescent="0.25">
      <c r="A15" t="s">
        <v>10</v>
      </c>
    </row>
    <row r="16" spans="1:1" x14ac:dyDescent="0.25">
      <c r="A16" s="4">
        <v>0.105</v>
      </c>
    </row>
    <row r="17" spans="1:1" x14ac:dyDescent="0.25">
      <c r="A17" s="4">
        <v>0.14799999999999999</v>
      </c>
    </row>
    <row r="18" spans="1:1" x14ac:dyDescent="0.25">
      <c r="A18" s="5">
        <v>0.11</v>
      </c>
    </row>
    <row r="19" spans="1:1" x14ac:dyDescent="0.25">
      <c r="A19" s="6">
        <v>0.12</v>
      </c>
    </row>
    <row r="21" spans="1:1" x14ac:dyDescent="0.25">
      <c r="A21" t="s">
        <v>11</v>
      </c>
    </row>
    <row r="22" spans="1:1" x14ac:dyDescent="0.25">
      <c r="A22" t="s">
        <v>12</v>
      </c>
    </row>
    <row r="23" spans="1:1" x14ac:dyDescent="0.25">
      <c r="A23" t="s">
        <v>13</v>
      </c>
    </row>
    <row r="24" spans="1:1" x14ac:dyDescent="0.25">
      <c r="A24" t="s">
        <v>14</v>
      </c>
    </row>
    <row r="25" spans="1:1" x14ac:dyDescent="0.25">
      <c r="A25" t="s">
        <v>15</v>
      </c>
    </row>
    <row r="26" spans="1:1" x14ac:dyDescent="0.25">
      <c r="A26" t="s">
        <v>16</v>
      </c>
    </row>
    <row r="27" spans="1:1" x14ac:dyDescent="0.25">
      <c r="A27" t="s">
        <v>17</v>
      </c>
    </row>
    <row r="30" spans="1:1" x14ac:dyDescent="0.25">
      <c r="A30" s="2" t="s">
        <v>18</v>
      </c>
    </row>
    <row r="31" spans="1:1" x14ac:dyDescent="0.25">
      <c r="A31" s="3" t="s">
        <v>6</v>
      </c>
    </row>
    <row r="32" spans="1:1" x14ac:dyDescent="0.25">
      <c r="A32" t="s">
        <v>8</v>
      </c>
    </row>
    <row r="33" spans="1:1" x14ac:dyDescent="0.25">
      <c r="A33" t="s">
        <v>7</v>
      </c>
    </row>
    <row r="34" spans="1:1" x14ac:dyDescent="0.25">
      <c r="A34" t="s">
        <v>4</v>
      </c>
    </row>
    <row r="36" spans="1:1" x14ac:dyDescent="0.25">
      <c r="A36" t="s">
        <v>11</v>
      </c>
    </row>
    <row r="37" spans="1:1" ht="30" x14ac:dyDescent="0.25">
      <c r="A37" s="2" t="s">
        <v>19</v>
      </c>
    </row>
    <row r="38" spans="1:1" ht="30" x14ac:dyDescent="0.25">
      <c r="A38" s="2" t="s">
        <v>20</v>
      </c>
    </row>
    <row r="40" spans="1:1" x14ac:dyDescent="0.25">
      <c r="A40" s="2" t="s">
        <v>21</v>
      </c>
    </row>
    <row r="41" spans="1:1" x14ac:dyDescent="0.25">
      <c r="A41" s="7" t="s">
        <v>6</v>
      </c>
    </row>
    <row r="42" spans="1:1" x14ac:dyDescent="0.25">
      <c r="A42" s="3" t="s">
        <v>8</v>
      </c>
    </row>
    <row r="43" spans="1:1" x14ac:dyDescent="0.25">
      <c r="A43" t="s">
        <v>4</v>
      </c>
    </row>
    <row r="45" spans="1:1" x14ac:dyDescent="0.25">
      <c r="A45" t="s">
        <v>11</v>
      </c>
    </row>
    <row r="46" spans="1:1" ht="30" x14ac:dyDescent="0.25">
      <c r="A46" s="2" t="s">
        <v>22</v>
      </c>
    </row>
    <row r="47" spans="1:1" ht="30" x14ac:dyDescent="0.25">
      <c r="A47" s="2" t="s">
        <v>23</v>
      </c>
    </row>
    <row r="48" spans="1:1" x14ac:dyDescent="0.25">
      <c r="A48" s="2" t="s">
        <v>24</v>
      </c>
    </row>
    <row r="49" spans="1:1" x14ac:dyDescent="0.25">
      <c r="A49" s="2" t="s">
        <v>25</v>
      </c>
    </row>
    <row r="50" spans="1:1" ht="30" x14ac:dyDescent="0.25">
      <c r="A50" s="2" t="s">
        <v>26</v>
      </c>
    </row>
    <row r="51" spans="1:1" x14ac:dyDescent="0.25">
      <c r="A51"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A3889-F024-4DED-9AE6-26A473053FC8}">
  <dimension ref="A1:A61"/>
  <sheetViews>
    <sheetView workbookViewId="0">
      <selection activeCell="A6" sqref="A6"/>
    </sheetView>
  </sheetViews>
  <sheetFormatPr defaultRowHeight="15" x14ac:dyDescent="0.25"/>
  <cols>
    <col min="1" max="1" width="138.28515625" customWidth="1"/>
  </cols>
  <sheetData>
    <row r="1" spans="1:1" ht="30" x14ac:dyDescent="0.25">
      <c r="A1" s="2" t="s">
        <v>108</v>
      </c>
    </row>
    <row r="2" spans="1:1" x14ac:dyDescent="0.25">
      <c r="A2" t="s">
        <v>109</v>
      </c>
    </row>
    <row r="3" spans="1:1" x14ac:dyDescent="0.25">
      <c r="A3" t="s">
        <v>110</v>
      </c>
    </row>
    <row r="4" spans="1:1" x14ac:dyDescent="0.25">
      <c r="A4" t="s">
        <v>111</v>
      </c>
    </row>
    <row r="5" spans="1:1" x14ac:dyDescent="0.25">
      <c r="A5" t="s">
        <v>112</v>
      </c>
    </row>
    <row r="8" spans="1:1" x14ac:dyDescent="0.25">
      <c r="A8" t="s">
        <v>113</v>
      </c>
    </row>
    <row r="9" spans="1:1" x14ac:dyDescent="0.25">
      <c r="A9" t="s">
        <v>114</v>
      </c>
    </row>
    <row r="10" spans="1:1" x14ac:dyDescent="0.25">
      <c r="A10" t="s">
        <v>115</v>
      </c>
    </row>
    <row r="11" spans="1:1" x14ac:dyDescent="0.25">
      <c r="A11" s="3" t="s">
        <v>116</v>
      </c>
    </row>
    <row r="12" spans="1:1" x14ac:dyDescent="0.25">
      <c r="A12" t="s">
        <v>117</v>
      </c>
    </row>
    <row r="14" spans="1:1" x14ac:dyDescent="0.25">
      <c r="A14" t="s">
        <v>11</v>
      </c>
    </row>
    <row r="15" spans="1:1" x14ac:dyDescent="0.25">
      <c r="A15" t="s">
        <v>118</v>
      </c>
    </row>
    <row r="16" spans="1:1" ht="30" x14ac:dyDescent="0.25">
      <c r="A16" s="2" t="s">
        <v>119</v>
      </c>
    </row>
    <row r="17" spans="1:1" ht="30" x14ac:dyDescent="0.25">
      <c r="A17" s="2" t="s">
        <v>120</v>
      </c>
    </row>
    <row r="20" spans="1:1" x14ac:dyDescent="0.25">
      <c r="A20" t="s">
        <v>121</v>
      </c>
    </row>
    <row r="21" spans="1:1" x14ac:dyDescent="0.25">
      <c r="A21" t="s">
        <v>122</v>
      </c>
    </row>
    <row r="22" spans="1:1" x14ac:dyDescent="0.25">
      <c r="A22" t="s">
        <v>123</v>
      </c>
    </row>
    <row r="23" spans="1:1" x14ac:dyDescent="0.25">
      <c r="A23" t="s">
        <v>124</v>
      </c>
    </row>
    <row r="24" spans="1:1" x14ac:dyDescent="0.25">
      <c r="A24" s="3" t="s">
        <v>125</v>
      </c>
    </row>
    <row r="26" spans="1:1" x14ac:dyDescent="0.25">
      <c r="A26" t="s">
        <v>11</v>
      </c>
    </row>
    <row r="27" spans="1:1" x14ac:dyDescent="0.25">
      <c r="A27" t="s">
        <v>126</v>
      </c>
    </row>
    <row r="28" spans="1:1" x14ac:dyDescent="0.25">
      <c r="A28" t="s">
        <v>127</v>
      </c>
    </row>
    <row r="29" spans="1:1" x14ac:dyDescent="0.25">
      <c r="A29" t="s">
        <v>128</v>
      </c>
    </row>
    <row r="30" spans="1:1" x14ac:dyDescent="0.25">
      <c r="A30" t="s">
        <v>129</v>
      </c>
    </row>
    <row r="31" spans="1:1" ht="30" x14ac:dyDescent="0.25">
      <c r="A31" s="2" t="s">
        <v>130</v>
      </c>
    </row>
    <row r="34" spans="1:1" x14ac:dyDescent="0.25">
      <c r="A34" t="s">
        <v>131</v>
      </c>
    </row>
    <row r="35" spans="1:1" x14ac:dyDescent="0.25">
      <c r="A35" s="3" t="s">
        <v>132</v>
      </c>
    </row>
    <row r="36" spans="1:1" x14ac:dyDescent="0.25">
      <c r="A36" t="s">
        <v>115</v>
      </c>
    </row>
    <row r="37" spans="1:1" x14ac:dyDescent="0.25">
      <c r="A37" t="s">
        <v>133</v>
      </c>
    </row>
    <row r="39" spans="1:1" x14ac:dyDescent="0.25">
      <c r="A39" t="s">
        <v>11</v>
      </c>
    </row>
    <row r="40" spans="1:1" x14ac:dyDescent="0.25">
      <c r="A40" t="s">
        <v>134</v>
      </c>
    </row>
    <row r="41" spans="1:1" x14ac:dyDescent="0.25">
      <c r="A41" t="s">
        <v>135</v>
      </c>
    </row>
    <row r="42" spans="1:1" x14ac:dyDescent="0.25">
      <c r="A42" t="s">
        <v>136</v>
      </c>
    </row>
    <row r="43" spans="1:1" x14ac:dyDescent="0.25">
      <c r="A43" t="s">
        <v>137</v>
      </c>
    </row>
    <row r="44" spans="1:1" x14ac:dyDescent="0.25">
      <c r="A44" t="s">
        <v>138</v>
      </c>
    </row>
    <row r="45" spans="1:1" x14ac:dyDescent="0.25">
      <c r="A45" t="s">
        <v>139</v>
      </c>
    </row>
    <row r="46" spans="1:1" x14ac:dyDescent="0.25">
      <c r="A46" t="s">
        <v>140</v>
      </c>
    </row>
    <row r="47" spans="1:1" x14ac:dyDescent="0.25">
      <c r="A47" t="s">
        <v>141</v>
      </c>
    </row>
    <row r="48" spans="1:1" x14ac:dyDescent="0.25">
      <c r="A48" t="s">
        <v>142</v>
      </c>
    </row>
    <row r="49" spans="1:1" x14ac:dyDescent="0.25">
      <c r="A49" t="s">
        <v>143</v>
      </c>
    </row>
    <row r="52" spans="1:1" x14ac:dyDescent="0.25">
      <c r="A52" t="s">
        <v>144</v>
      </c>
    </row>
    <row r="53" spans="1:1" x14ac:dyDescent="0.25">
      <c r="A53" s="3" t="s">
        <v>145</v>
      </c>
    </row>
    <row r="54" spans="1:1" x14ac:dyDescent="0.25">
      <c r="A54" t="s">
        <v>146</v>
      </c>
    </row>
    <row r="55" spans="1:1" x14ac:dyDescent="0.25">
      <c r="A55" t="s">
        <v>147</v>
      </c>
    </row>
    <row r="56" spans="1:1" x14ac:dyDescent="0.25">
      <c r="A56" t="s">
        <v>148</v>
      </c>
    </row>
    <row r="57" spans="1:1" x14ac:dyDescent="0.25">
      <c r="A57" t="s">
        <v>149</v>
      </c>
    </row>
    <row r="59" spans="1:1" x14ac:dyDescent="0.25">
      <c r="A59" t="s">
        <v>11</v>
      </c>
    </row>
    <row r="60" spans="1:1" x14ac:dyDescent="0.25">
      <c r="A60" t="s">
        <v>150</v>
      </c>
    </row>
    <row r="61" spans="1:1" x14ac:dyDescent="0.25">
      <c r="A61"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Case 1</vt:lpstr>
      <vt:lpstr>Case 2</vt:lpstr>
      <vt:lpstr>Case 3</vt:lpstr>
      <vt:lpstr>Case 4</vt:lpstr>
      <vt:lpstr>Case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Kumar R</dc:creator>
  <cp:lastModifiedBy>Sathish Kumar R</cp:lastModifiedBy>
  <dcterms:created xsi:type="dcterms:W3CDTF">2026-03-02T03:18:39Z</dcterms:created>
  <dcterms:modified xsi:type="dcterms:W3CDTF">2026-03-07T01:55:35Z</dcterms:modified>
</cp:coreProperties>
</file>